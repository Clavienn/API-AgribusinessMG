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ravail\EdE\Agribusiness\api\uploads\"/>
    </mc:Choice>
  </mc:AlternateContent>
  <bookViews>
    <workbookView xWindow="0" yWindow="0" windowWidth="17256" windowHeight="5688" tabRatio="938"/>
  </bookViews>
  <sheets>
    <sheet name="20_08" sheetId="15"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I96" i="15" l="1"/>
  <c r="BU96" i="15"/>
  <c r="BQ96" i="15"/>
  <c r="GK104" i="15"/>
  <c r="GG104" i="15"/>
  <c r="GC104" i="15"/>
  <c r="FY104" i="15"/>
  <c r="FU104" i="15"/>
  <c r="FQ104" i="15"/>
  <c r="FM104" i="15"/>
  <c r="GK103" i="15"/>
  <c r="GG103" i="15"/>
  <c r="GC103" i="15"/>
  <c r="FY103" i="15"/>
  <c r="FU103" i="15"/>
  <c r="FQ103" i="15"/>
  <c r="FM103" i="15"/>
  <c r="GK102" i="15"/>
  <c r="GG102" i="15"/>
  <c r="GC102" i="15"/>
  <c r="FY102" i="15"/>
  <c r="FU102" i="15"/>
  <c r="FQ102" i="15"/>
  <c r="FM102" i="15"/>
  <c r="GK101" i="15"/>
  <c r="GG101" i="15"/>
  <c r="GC101" i="15"/>
  <c r="FY101" i="15"/>
  <c r="FU101" i="15"/>
  <c r="FQ101" i="15"/>
  <c r="FM101" i="15"/>
  <c r="GK100" i="15"/>
  <c r="GG100" i="15"/>
  <c r="GC100" i="15"/>
  <c r="FY100" i="15"/>
  <c r="FU100" i="15"/>
  <c r="FQ100" i="15"/>
  <c r="FM100" i="15"/>
  <c r="GK95" i="15"/>
  <c r="GG95" i="15"/>
  <c r="GC95" i="15"/>
  <c r="FY95" i="15"/>
  <c r="FU95" i="15"/>
  <c r="FQ95" i="15"/>
  <c r="FM95" i="15"/>
  <c r="GK94" i="15"/>
  <c r="GG94" i="15"/>
  <c r="GC94" i="15"/>
  <c r="FY94" i="15"/>
  <c r="FU94" i="15"/>
  <c r="FQ94" i="15"/>
  <c r="FM94" i="15"/>
  <c r="GK93" i="15"/>
  <c r="GG93" i="15"/>
  <c r="GC93" i="15"/>
  <c r="FY93" i="15"/>
  <c r="FU93" i="15"/>
  <c r="FQ93" i="15"/>
  <c r="FM93" i="15"/>
  <c r="FD100" i="15"/>
  <c r="FD101" i="15"/>
  <c r="FD102" i="15"/>
  <c r="FD103" i="15"/>
  <c r="FD104" i="15"/>
  <c r="FH100" i="15"/>
  <c r="FH101" i="15"/>
  <c r="FH102" i="15"/>
  <c r="FH103" i="15"/>
  <c r="FH104" i="15"/>
  <c r="FF93" i="15"/>
  <c r="FF94" i="15"/>
  <c r="FD93" i="15"/>
  <c r="FD94" i="15"/>
  <c r="EZ93" i="15"/>
  <c r="EZ94" i="15"/>
  <c r="EP93" i="15"/>
  <c r="ER93" i="15" s="1"/>
  <c r="EP94" i="15"/>
  <c r="ER94" i="15" s="1"/>
  <c r="EL93" i="15"/>
  <c r="EN93" i="15" s="1"/>
  <c r="EL94" i="15"/>
  <c r="EN94" i="15" s="1"/>
  <c r="ED93" i="15"/>
  <c r="EF93" i="15" s="1"/>
  <c r="ED94" i="15"/>
  <c r="EF94" i="15" s="1"/>
  <c r="DZ93" i="15"/>
  <c r="EB93" i="15" s="1"/>
  <c r="DZ94" i="15"/>
  <c r="EB94" i="15" s="1"/>
  <c r="DS104" i="15"/>
  <c r="DO104" i="15"/>
  <c r="DK104" i="15"/>
  <c r="DG104" i="15"/>
  <c r="DC104" i="15"/>
  <c r="CY104" i="15"/>
  <c r="CU104" i="15"/>
  <c r="CQ104" i="15"/>
  <c r="DS103" i="15"/>
  <c r="DO103" i="15"/>
  <c r="DK103" i="15"/>
  <c r="DG103" i="15"/>
  <c r="DC103" i="15"/>
  <c r="CY103" i="15"/>
  <c r="CU103" i="15"/>
  <c r="CQ103" i="15"/>
  <c r="DS102" i="15"/>
  <c r="DO102" i="15"/>
  <c r="DK102" i="15"/>
  <c r="DG102" i="15"/>
  <c r="DC102" i="15"/>
  <c r="CY102" i="15"/>
  <c r="CU102" i="15"/>
  <c r="CQ102" i="15"/>
  <c r="DS101" i="15"/>
  <c r="DO101" i="15"/>
  <c r="DK101" i="15"/>
  <c r="DG101" i="15"/>
  <c r="DC101" i="15"/>
  <c r="CY101" i="15"/>
  <c r="CU101" i="15"/>
  <c r="CQ101" i="15"/>
  <c r="DS100" i="15"/>
  <c r="DO100" i="15"/>
  <c r="DK100" i="15"/>
  <c r="DG100" i="15"/>
  <c r="DC100" i="15"/>
  <c r="CY100" i="15"/>
  <c r="CU100" i="15"/>
  <c r="CQ100" i="15"/>
  <c r="DS99" i="15"/>
  <c r="DO99" i="15"/>
  <c r="DK99" i="15"/>
  <c r="DG99" i="15"/>
  <c r="DC99" i="15"/>
  <c r="CY99" i="15"/>
  <c r="CU99" i="15"/>
  <c r="CQ99" i="15"/>
  <c r="DS97" i="15"/>
  <c r="DO97" i="15"/>
  <c r="DK97" i="15"/>
  <c r="DG97" i="15"/>
  <c r="DC97" i="15"/>
  <c r="CY97" i="15"/>
  <c r="CU97" i="15"/>
  <c r="CQ97" i="15"/>
  <c r="DS96" i="15"/>
  <c r="DO96" i="15"/>
  <c r="DK96" i="15"/>
  <c r="DG96" i="15"/>
  <c r="DC96" i="15"/>
  <c r="CY96" i="15"/>
  <c r="CU96" i="15"/>
  <c r="CQ96" i="15"/>
  <c r="DS95" i="15"/>
  <c r="DO95" i="15"/>
  <c r="DK95" i="15"/>
  <c r="DG95" i="15"/>
  <c r="DC95" i="15"/>
  <c r="CY95" i="15"/>
  <c r="CU95" i="15"/>
  <c r="CQ95" i="15"/>
  <c r="DS94" i="15"/>
  <c r="DO94" i="15"/>
  <c r="DK94" i="15"/>
  <c r="DG94" i="15"/>
  <c r="DC94" i="15"/>
  <c r="CY94" i="15"/>
  <c r="CU94" i="15"/>
  <c r="CQ94" i="15"/>
  <c r="DS93" i="15"/>
  <c r="DO93" i="15"/>
  <c r="DK93" i="15"/>
  <c r="DG93" i="15"/>
  <c r="DC93" i="15"/>
  <c r="CY93" i="15"/>
  <c r="CU93" i="15"/>
  <c r="CQ93" i="15"/>
  <c r="DS91" i="15"/>
  <c r="DO91" i="15"/>
  <c r="DK91" i="15"/>
  <c r="DG91" i="15"/>
  <c r="DC91" i="15"/>
  <c r="CY91" i="15"/>
  <c r="CU91" i="15"/>
  <c r="CQ91" i="15"/>
  <c r="DS90" i="15"/>
  <c r="DO90" i="15"/>
  <c r="DK90" i="15"/>
  <c r="DG90" i="15"/>
  <c r="DC90" i="15"/>
  <c r="CY90" i="15"/>
  <c r="CU90" i="15"/>
  <c r="CQ90" i="15"/>
  <c r="DS89" i="15"/>
  <c r="DO89" i="15"/>
  <c r="DK89" i="15"/>
  <c r="DG89" i="15"/>
  <c r="DC89" i="15"/>
  <c r="CY89" i="15"/>
  <c r="CU89" i="15"/>
  <c r="CQ89" i="15"/>
  <c r="DS87" i="15"/>
  <c r="DO87" i="15"/>
  <c r="DK87" i="15"/>
  <c r="DG87" i="15"/>
  <c r="DC87" i="15"/>
  <c r="CY87" i="15"/>
  <c r="CU87" i="15"/>
  <c r="CQ87" i="15"/>
  <c r="DS86" i="15"/>
  <c r="DO86" i="15"/>
  <c r="DK86" i="15"/>
  <c r="DG86" i="15"/>
  <c r="DC86" i="15"/>
  <c r="CY86" i="15"/>
  <c r="CU86" i="15"/>
  <c r="CQ86" i="15"/>
  <c r="DS85" i="15"/>
  <c r="DO85" i="15"/>
  <c r="DK85" i="15"/>
  <c r="DG85" i="15"/>
  <c r="DC85" i="15"/>
  <c r="CY85" i="15"/>
  <c r="CU85" i="15"/>
  <c r="CQ85" i="15"/>
  <c r="DS84" i="15"/>
  <c r="DO84" i="15"/>
  <c r="DK84" i="15"/>
  <c r="DG84" i="15"/>
  <c r="DC84" i="15"/>
  <c r="CY84" i="15"/>
  <c r="CU84" i="15"/>
  <c r="CQ84" i="15"/>
  <c r="DS83" i="15"/>
  <c r="DO83" i="15"/>
  <c r="DK83" i="15"/>
  <c r="DG83" i="15"/>
  <c r="DC83" i="15"/>
  <c r="CY83" i="15"/>
  <c r="CU83" i="15"/>
  <c r="CQ83" i="15"/>
  <c r="DS82" i="15"/>
  <c r="DO82" i="15"/>
  <c r="DK82" i="15"/>
  <c r="DG82" i="15"/>
  <c r="DC82" i="15"/>
  <c r="CY82" i="15"/>
  <c r="CU82" i="15"/>
  <c r="CQ82" i="15"/>
  <c r="DS81" i="15"/>
  <c r="DO81" i="15"/>
  <c r="DK81" i="15"/>
  <c r="DG81" i="15"/>
  <c r="DC81" i="15"/>
  <c r="CY81" i="15"/>
  <c r="CU81" i="15"/>
  <c r="CQ81" i="15"/>
  <c r="DS76" i="15"/>
  <c r="DO76" i="15"/>
  <c r="DK76" i="15"/>
  <c r="DG76" i="15"/>
  <c r="DC76" i="15"/>
  <c r="CY76" i="15"/>
  <c r="CU76" i="15"/>
  <c r="CQ76" i="15"/>
  <c r="DS74" i="15"/>
  <c r="DO74" i="15"/>
  <c r="DK74" i="15"/>
  <c r="DG74" i="15"/>
  <c r="DC74" i="15"/>
  <c r="CY74" i="15"/>
  <c r="CU74" i="15"/>
  <c r="CQ74" i="15"/>
  <c r="DS73" i="15"/>
  <c r="DO73" i="15"/>
  <c r="DK73" i="15"/>
  <c r="DG73" i="15"/>
  <c r="DC73" i="15"/>
  <c r="CY73" i="15"/>
  <c r="CU73" i="15"/>
  <c r="CQ73" i="15"/>
  <c r="DS72" i="15"/>
  <c r="DO72" i="15"/>
  <c r="DK72" i="15"/>
  <c r="DG72" i="15"/>
  <c r="DC72" i="15"/>
  <c r="CY72" i="15"/>
  <c r="CU72" i="15"/>
  <c r="CQ72" i="15"/>
  <c r="DS71" i="15"/>
  <c r="DO71" i="15"/>
  <c r="DK71" i="15"/>
  <c r="DG71" i="15"/>
  <c r="DC71" i="15"/>
  <c r="CY71" i="15"/>
  <c r="CU71" i="15"/>
  <c r="CQ71" i="15"/>
  <c r="DS68" i="15"/>
  <c r="DO68" i="15"/>
  <c r="DK68" i="15"/>
  <c r="DG68" i="15"/>
  <c r="DC68" i="15"/>
  <c r="CY68" i="15"/>
  <c r="CU68" i="15"/>
  <c r="CQ68" i="15"/>
  <c r="DS67" i="15"/>
  <c r="DO67" i="15"/>
  <c r="DK67" i="15"/>
  <c r="DG67" i="15"/>
  <c r="DC67" i="15"/>
  <c r="CY67" i="15"/>
  <c r="CU67" i="15"/>
  <c r="CQ67" i="15"/>
  <c r="DS66" i="15"/>
  <c r="DO66" i="15"/>
  <c r="DK66" i="15"/>
  <c r="DG66" i="15"/>
  <c r="DC66" i="15"/>
  <c r="CY66" i="15"/>
  <c r="CU66" i="15"/>
  <c r="CQ66" i="15"/>
  <c r="DS63" i="15"/>
  <c r="DO63" i="15"/>
  <c r="DK63" i="15"/>
  <c r="DG63" i="15"/>
  <c r="DC63" i="15"/>
  <c r="CY63" i="15"/>
  <c r="CU63" i="15"/>
  <c r="CQ63" i="15"/>
  <c r="DS62" i="15"/>
  <c r="DO62" i="15"/>
  <c r="DK62" i="15"/>
  <c r="DG62" i="15"/>
  <c r="DC62" i="15"/>
  <c r="CY62" i="15"/>
  <c r="CU62" i="15"/>
  <c r="CQ62" i="15"/>
  <c r="DS61" i="15"/>
  <c r="DO61" i="15"/>
  <c r="DK61" i="15"/>
  <c r="DG61" i="15"/>
  <c r="DC61" i="15"/>
  <c r="CY61" i="15"/>
  <c r="CU61" i="15"/>
  <c r="CQ61" i="15"/>
  <c r="DS60" i="15"/>
  <c r="DO60" i="15"/>
  <c r="DK60" i="15"/>
  <c r="DG60" i="15"/>
  <c r="DC60" i="15"/>
  <c r="CY60" i="15"/>
  <c r="CU60" i="15"/>
  <c r="CQ60" i="15"/>
  <c r="DS58" i="15"/>
  <c r="DO58" i="15"/>
  <c r="DK58" i="15"/>
  <c r="DG58" i="15"/>
  <c r="DC58" i="15"/>
  <c r="CY58" i="15"/>
  <c r="CU58" i="15"/>
  <c r="CQ58" i="15"/>
  <c r="DS57" i="15"/>
  <c r="DO57" i="15"/>
  <c r="DK57" i="15"/>
  <c r="DG57" i="15"/>
  <c r="DC57" i="15"/>
  <c r="CY57" i="15"/>
  <c r="CU57" i="15"/>
  <c r="CQ57" i="15"/>
  <c r="DS56" i="15"/>
  <c r="DO56" i="15"/>
  <c r="DK56" i="15"/>
  <c r="DG56" i="15"/>
  <c r="DC56" i="15"/>
  <c r="CY56" i="15"/>
  <c r="CU56" i="15"/>
  <c r="CQ56" i="15"/>
  <c r="DS55" i="15"/>
  <c r="DO55" i="15"/>
  <c r="DK55" i="15"/>
  <c r="DG55" i="15"/>
  <c r="DC55" i="15"/>
  <c r="CY55" i="15"/>
  <c r="CU55" i="15"/>
  <c r="CQ55" i="15"/>
  <c r="DS54" i="15"/>
  <c r="DO54" i="15"/>
  <c r="DK54" i="15"/>
  <c r="DG54" i="15"/>
  <c r="DC54" i="15"/>
  <c r="CY54" i="15"/>
  <c r="CU54" i="15"/>
  <c r="CQ54" i="15"/>
  <c r="DS53" i="15"/>
  <c r="DO53" i="15"/>
  <c r="DK53" i="15"/>
  <c r="DG53" i="15"/>
  <c r="DC53" i="15"/>
  <c r="CY53" i="15"/>
  <c r="CU53" i="15"/>
  <c r="CQ53" i="15"/>
  <c r="DS52" i="15"/>
  <c r="DO52" i="15"/>
  <c r="DK52" i="15"/>
  <c r="DG52" i="15"/>
  <c r="DC52" i="15"/>
  <c r="CY52" i="15"/>
  <c r="CU52" i="15"/>
  <c r="CQ52" i="15"/>
  <c r="DS51" i="15"/>
  <c r="DO51" i="15"/>
  <c r="DK51" i="15"/>
  <c r="DG51" i="15"/>
  <c r="DC51" i="15"/>
  <c r="CY51" i="15"/>
  <c r="CU51" i="15"/>
  <c r="CQ51" i="15"/>
  <c r="DS50" i="15"/>
  <c r="DO50" i="15"/>
  <c r="DK50" i="15"/>
  <c r="DG50" i="15"/>
  <c r="DC50" i="15"/>
  <c r="CY50" i="15"/>
  <c r="CU50" i="15"/>
  <c r="CQ50" i="15"/>
  <c r="DS49" i="15"/>
  <c r="DO49" i="15"/>
  <c r="DK49" i="15"/>
  <c r="DG49" i="15"/>
  <c r="DC49" i="15"/>
  <c r="CY49" i="15"/>
  <c r="CU49" i="15"/>
  <c r="CQ49" i="15"/>
  <c r="DS48" i="15"/>
  <c r="DO48" i="15"/>
  <c r="DK48" i="15"/>
  <c r="DG48" i="15"/>
  <c r="DC48" i="15"/>
  <c r="CY48" i="15"/>
  <c r="CU48" i="15"/>
  <c r="CQ48" i="15"/>
  <c r="DS47" i="15"/>
  <c r="DO47" i="15"/>
  <c r="DK47" i="15"/>
  <c r="DG47" i="15"/>
  <c r="DC47" i="15"/>
  <c r="CY47" i="15"/>
  <c r="CU47" i="15"/>
  <c r="CQ47" i="15"/>
  <c r="CL93" i="15"/>
  <c r="CL94" i="15"/>
  <c r="CL103" i="15"/>
  <c r="CH103" i="15"/>
  <c r="CD103" i="15"/>
  <c r="CL102" i="15"/>
  <c r="CH102" i="15"/>
  <c r="CD102" i="15"/>
  <c r="CL101" i="15"/>
  <c r="CH101" i="15"/>
  <c r="CD101" i="15"/>
  <c r="CL100" i="15"/>
  <c r="CH100" i="15"/>
  <c r="CD100" i="15"/>
  <c r="BY104" i="15"/>
  <c r="BT104" i="15"/>
  <c r="BU104" i="15" s="1"/>
  <c r="BQ104" i="15"/>
  <c r="BM104" i="15"/>
  <c r="BI104" i="15"/>
  <c r="BE104" i="15"/>
  <c r="BA104" i="15"/>
  <c r="AW104" i="15"/>
  <c r="GQ100" i="15"/>
  <c r="GQ101" i="15"/>
  <c r="GQ102" i="15"/>
  <c r="GQ103" i="15"/>
  <c r="GQ104" i="15"/>
  <c r="GN100" i="15"/>
  <c r="GP100" i="15" s="1"/>
  <c r="GN101" i="15"/>
  <c r="GP101" i="15" s="1"/>
  <c r="GN102" i="15"/>
  <c r="GP102" i="15" s="1"/>
  <c r="GN103" i="15"/>
  <c r="GP103" i="15" s="1"/>
  <c r="GN104" i="15"/>
  <c r="GP104" i="15" s="1"/>
  <c r="EV100" i="15"/>
  <c r="EV101" i="15"/>
  <c r="EV102" i="15"/>
  <c r="EV103" i="15"/>
  <c r="EV104" i="15"/>
  <c r="EP100" i="15"/>
  <c r="ER100" i="15" s="1"/>
  <c r="EP101" i="15"/>
  <c r="ER101" i="15" s="1"/>
  <c r="EP102" i="15"/>
  <c r="ER102" i="15" s="1"/>
  <c r="EP103" i="15"/>
  <c r="ER103" i="15" s="1"/>
  <c r="EP104" i="15"/>
  <c r="ER104" i="15" s="1"/>
  <c r="EN100" i="15"/>
  <c r="EN101" i="15"/>
  <c r="EN102" i="15"/>
  <c r="EN103" i="15"/>
  <c r="EN104" i="15"/>
  <c r="EJ100" i="15"/>
  <c r="EJ101" i="15"/>
  <c r="EJ102" i="15"/>
  <c r="EJ103" i="15"/>
  <c r="EJ104" i="15"/>
  <c r="ED100" i="15"/>
  <c r="EF100" i="15" s="1"/>
  <c r="ED101" i="15"/>
  <c r="EF101" i="15" s="1"/>
  <c r="ED102" i="15"/>
  <c r="EF102" i="15" s="1"/>
  <c r="ED103" i="15"/>
  <c r="EF103" i="15" s="1"/>
  <c r="ED104" i="15"/>
  <c r="EF104" i="15" s="1"/>
  <c r="DZ100" i="15"/>
  <c r="EB100" i="15" s="1"/>
  <c r="DZ101" i="15"/>
  <c r="EB101" i="15" s="1"/>
  <c r="DZ102" i="15"/>
  <c r="EB102" i="15" s="1"/>
  <c r="DZ103" i="15"/>
  <c r="EB103" i="15" s="1"/>
  <c r="DZ104" i="15"/>
  <c r="EB104" i="15" s="1"/>
  <c r="DW100" i="15"/>
  <c r="CL104" i="15"/>
  <c r="CH104" i="15"/>
  <c r="CD104" i="15"/>
  <c r="BY100" i="15"/>
  <c r="BY101" i="15"/>
  <c r="BY102" i="15"/>
  <c r="BY103" i="15"/>
  <c r="BT100" i="15"/>
  <c r="BU100" i="15" s="1"/>
  <c r="BT101" i="15"/>
  <c r="BU101" i="15" s="1"/>
  <c r="BT102" i="15"/>
  <c r="BU102" i="15" s="1"/>
  <c r="BT103" i="15"/>
  <c r="BU103" i="15" s="1"/>
  <c r="BM100" i="15"/>
  <c r="BM101" i="15"/>
  <c r="BM102" i="15"/>
  <c r="BM103" i="15"/>
  <c r="BI100" i="15"/>
  <c r="BI101" i="15"/>
  <c r="BI102" i="15"/>
  <c r="BI103" i="15"/>
  <c r="BE100" i="15"/>
  <c r="BE101" i="15"/>
  <c r="BE102" i="15"/>
  <c r="BE103" i="15"/>
  <c r="BA100" i="15"/>
  <c r="BA101" i="15"/>
  <c r="BA102" i="15"/>
  <c r="BA103" i="15"/>
  <c r="AW100" i="15"/>
  <c r="AW101" i="15"/>
  <c r="AW102" i="15"/>
  <c r="AW103" i="15"/>
  <c r="AQ100" i="15"/>
  <c r="AQ101" i="15"/>
  <c r="AQ102" i="15"/>
  <c r="AQ103" i="15"/>
  <c r="AQ104" i="15"/>
  <c r="AG100" i="15"/>
  <c r="AG101" i="15"/>
  <c r="AG102" i="15"/>
  <c r="AG103" i="15"/>
  <c r="AG104" i="15"/>
  <c r="DV100" i="15"/>
  <c r="CM101" i="15" l="1"/>
  <c r="GL101" i="15"/>
  <c r="GL102" i="15"/>
  <c r="CM104" i="15"/>
  <c r="CM102" i="15"/>
  <c r="CM100" i="15"/>
  <c r="FI103" i="15"/>
  <c r="DT61" i="15"/>
  <c r="DT66" i="15"/>
  <c r="DT71" i="15"/>
  <c r="DT74" i="15"/>
  <c r="DT81" i="15"/>
  <c r="DT84" i="15"/>
  <c r="DT93" i="15"/>
  <c r="DX100" i="15"/>
  <c r="FI100" i="15" s="1"/>
  <c r="DT63" i="15"/>
  <c r="DT68" i="15"/>
  <c r="DT73" i="15"/>
  <c r="DT82" i="15"/>
  <c r="DT85" i="15"/>
  <c r="DT87" i="15"/>
  <c r="DT90" i="15"/>
  <c r="DT94" i="15"/>
  <c r="DT99" i="15"/>
  <c r="GL95" i="15"/>
  <c r="DT62" i="15"/>
  <c r="DT67" i="15"/>
  <c r="DT72" i="15"/>
  <c r="DT76" i="15"/>
  <c r="DT83" i="15"/>
  <c r="DT86" i="15"/>
  <c r="DT89" i="15"/>
  <c r="DT91" i="15"/>
  <c r="DT95" i="15"/>
  <c r="DT103" i="15"/>
  <c r="BZ104" i="15"/>
  <c r="GL100" i="15"/>
  <c r="DT102" i="15"/>
  <c r="BZ103" i="15"/>
  <c r="CM103" i="15"/>
  <c r="GL104" i="15"/>
  <c r="DT100" i="15"/>
  <c r="DT101" i="15"/>
  <c r="DT104" i="15"/>
  <c r="GL103" i="15"/>
  <c r="DT96" i="15"/>
  <c r="DT97" i="15"/>
  <c r="GL94" i="15"/>
  <c r="GL93" i="15"/>
  <c r="DT47" i="15"/>
  <c r="DT48" i="15"/>
  <c r="DT49" i="15"/>
  <c r="DT50" i="15"/>
  <c r="DT51" i="15"/>
  <c r="DT52" i="15"/>
  <c r="DT53" i="15"/>
  <c r="DT54" i="15"/>
  <c r="DT55" i="15"/>
  <c r="DT56" i="15"/>
  <c r="DT57" i="15"/>
  <c r="DT58" i="15"/>
  <c r="DT60" i="15"/>
  <c r="BZ102" i="15"/>
  <c r="BZ101" i="15"/>
  <c r="BZ100" i="15"/>
  <c r="FI102" i="15"/>
  <c r="FI101" i="15"/>
  <c r="FI104" i="15"/>
  <c r="GQ94" i="15"/>
  <c r="EV93" i="15"/>
  <c r="EV94" i="15"/>
  <c r="DS64" i="15"/>
  <c r="DO64" i="15"/>
  <c r="DK64" i="15"/>
  <c r="DG64" i="15"/>
  <c r="DC64" i="15"/>
  <c r="CY64" i="15"/>
  <c r="CU64" i="15"/>
  <c r="CQ64" i="15"/>
  <c r="DS98" i="15"/>
  <c r="DO98" i="15"/>
  <c r="DK98" i="15"/>
  <c r="DG98" i="15"/>
  <c r="DC98" i="15"/>
  <c r="CY98" i="15"/>
  <c r="CU98" i="15"/>
  <c r="CQ98" i="15"/>
  <c r="DS92" i="15"/>
  <c r="DO92" i="15"/>
  <c r="DK92" i="15"/>
  <c r="DG92" i="15"/>
  <c r="DC92" i="15"/>
  <c r="CY92" i="15"/>
  <c r="CU92" i="15"/>
  <c r="CQ92" i="15"/>
  <c r="DS88" i="15"/>
  <c r="DO88" i="15"/>
  <c r="DK88" i="15"/>
  <c r="DG88" i="15"/>
  <c r="DC88" i="15"/>
  <c r="CY88" i="15"/>
  <c r="CU88" i="15"/>
  <c r="CQ88" i="15"/>
  <c r="DS80" i="15"/>
  <c r="DO80" i="15"/>
  <c r="DK80" i="15"/>
  <c r="DG80" i="15"/>
  <c r="DC80" i="15"/>
  <c r="CY80" i="15"/>
  <c r="CU80" i="15"/>
  <c r="CQ80" i="15"/>
  <c r="DS79" i="15"/>
  <c r="DO79" i="15"/>
  <c r="DK79" i="15"/>
  <c r="DG79" i="15"/>
  <c r="DC79" i="15"/>
  <c r="CY79" i="15"/>
  <c r="CU79" i="15"/>
  <c r="CQ79" i="15"/>
  <c r="DS78" i="15"/>
  <c r="DO78" i="15"/>
  <c r="DK78" i="15"/>
  <c r="DG78" i="15"/>
  <c r="DC78" i="15"/>
  <c r="CY78" i="15"/>
  <c r="CU78" i="15"/>
  <c r="CQ78" i="15"/>
  <c r="DS77" i="15"/>
  <c r="DO77" i="15"/>
  <c r="DK77" i="15"/>
  <c r="DG77" i="15"/>
  <c r="DC77" i="15"/>
  <c r="CY77" i="15"/>
  <c r="CU77" i="15"/>
  <c r="CQ77" i="15"/>
  <c r="DS75" i="15"/>
  <c r="DO75" i="15"/>
  <c r="DK75" i="15"/>
  <c r="DG75" i="15"/>
  <c r="DC75" i="15"/>
  <c r="CY75" i="15"/>
  <c r="CU75" i="15"/>
  <c r="CQ75" i="15"/>
  <c r="DS70" i="15"/>
  <c r="DO70" i="15"/>
  <c r="DK70" i="15"/>
  <c r="DG70" i="15"/>
  <c r="DC70" i="15"/>
  <c r="CY70" i="15"/>
  <c r="CU70" i="15"/>
  <c r="CQ70" i="15"/>
  <c r="DS69" i="15"/>
  <c r="DO69" i="15"/>
  <c r="DK69" i="15"/>
  <c r="DG69" i="15"/>
  <c r="DC69" i="15"/>
  <c r="CY69" i="15"/>
  <c r="CU69" i="15"/>
  <c r="CQ69" i="15"/>
  <c r="DS65" i="15"/>
  <c r="DO65" i="15"/>
  <c r="DK65" i="15"/>
  <c r="DG65" i="15"/>
  <c r="DC65" i="15"/>
  <c r="CY65" i="15"/>
  <c r="CU65" i="15"/>
  <c r="CQ65" i="15"/>
  <c r="DS59" i="15"/>
  <c r="DO59" i="15"/>
  <c r="DK59" i="15"/>
  <c r="DG59" i="15"/>
  <c r="DC59" i="15"/>
  <c r="CY59" i="15"/>
  <c r="CU59" i="15"/>
  <c r="CQ59" i="15"/>
  <c r="DS46" i="15"/>
  <c r="DO46" i="15"/>
  <c r="DK46" i="15"/>
  <c r="DG46" i="15"/>
  <c r="DC46" i="15"/>
  <c r="CY46" i="15"/>
  <c r="CU46" i="15"/>
  <c r="CQ46" i="15"/>
  <c r="DS45" i="15"/>
  <c r="DO45" i="15"/>
  <c r="DK45" i="15"/>
  <c r="DG45" i="15"/>
  <c r="DC45" i="15"/>
  <c r="CY45" i="15"/>
  <c r="CU45" i="15"/>
  <c r="CQ45" i="15"/>
  <c r="DS44" i="15"/>
  <c r="DO44" i="15"/>
  <c r="DK44" i="15"/>
  <c r="DG44" i="15"/>
  <c r="DC44" i="15"/>
  <c r="CY44" i="15"/>
  <c r="CU44" i="15"/>
  <c r="CQ44" i="15"/>
  <c r="DS43" i="15"/>
  <c r="DO43" i="15"/>
  <c r="DK43" i="15"/>
  <c r="DG43" i="15"/>
  <c r="DC43" i="15"/>
  <c r="CY43" i="15"/>
  <c r="CU43" i="15"/>
  <c r="CQ43" i="15"/>
  <c r="DS33" i="15"/>
  <c r="DO33" i="15"/>
  <c r="DK33" i="15"/>
  <c r="DG33" i="15"/>
  <c r="DC33" i="15"/>
  <c r="CY33" i="15"/>
  <c r="CU33" i="15"/>
  <c r="CQ33" i="15"/>
  <c r="CQ32" i="15"/>
  <c r="CU32" i="15"/>
  <c r="CY32" i="15"/>
  <c r="DC32" i="15"/>
  <c r="DG32" i="15"/>
  <c r="DK32" i="15"/>
  <c r="DO32" i="15"/>
  <c r="DS32" i="15"/>
  <c r="DS31" i="15"/>
  <c r="DO31" i="15"/>
  <c r="DK31" i="15"/>
  <c r="DG31" i="15"/>
  <c r="DC31" i="15"/>
  <c r="CY31" i="15"/>
  <c r="CU31" i="15"/>
  <c r="CQ31" i="15"/>
  <c r="DS30" i="15"/>
  <c r="DO30" i="15"/>
  <c r="DK30" i="15"/>
  <c r="DG30" i="15"/>
  <c r="DC30" i="15"/>
  <c r="CY30" i="15"/>
  <c r="CU30" i="15"/>
  <c r="CQ30" i="15"/>
  <c r="DS29" i="15"/>
  <c r="DO29" i="15"/>
  <c r="DK29" i="15"/>
  <c r="DG29" i="15"/>
  <c r="DC29" i="15"/>
  <c r="CY29" i="15"/>
  <c r="CU29" i="15"/>
  <c r="CQ29" i="15"/>
  <c r="DS28" i="15"/>
  <c r="DO28" i="15"/>
  <c r="DK28" i="15"/>
  <c r="DG28" i="15"/>
  <c r="DC28" i="15"/>
  <c r="CY28" i="15"/>
  <c r="CU28" i="15"/>
  <c r="CQ28" i="15"/>
  <c r="DS27" i="15"/>
  <c r="DO27" i="15"/>
  <c r="DK27" i="15"/>
  <c r="DG27" i="15"/>
  <c r="DC27" i="15"/>
  <c r="CY27" i="15"/>
  <c r="CU27" i="15"/>
  <c r="CQ27" i="15"/>
  <c r="DS24" i="15"/>
  <c r="DO24" i="15"/>
  <c r="DK24" i="15"/>
  <c r="DG24" i="15"/>
  <c r="DC24" i="15"/>
  <c r="CY24" i="15"/>
  <c r="CU24" i="15"/>
  <c r="CQ24" i="15"/>
  <c r="DS23" i="15"/>
  <c r="DO23" i="15"/>
  <c r="DK23" i="15"/>
  <c r="DG23" i="15"/>
  <c r="DC23" i="15"/>
  <c r="CY23" i="15"/>
  <c r="CU23" i="15"/>
  <c r="CQ23" i="15"/>
  <c r="DS21" i="15"/>
  <c r="DO21" i="15"/>
  <c r="DK21" i="15"/>
  <c r="DG21" i="15"/>
  <c r="DC21" i="15"/>
  <c r="CY21" i="15"/>
  <c r="CU21" i="15"/>
  <c r="CQ21" i="15"/>
  <c r="DS18" i="15"/>
  <c r="DO18" i="15"/>
  <c r="DK18" i="15"/>
  <c r="DG18" i="15"/>
  <c r="DC18" i="15"/>
  <c r="CY18" i="15"/>
  <c r="CU18" i="15"/>
  <c r="CQ18" i="15"/>
  <c r="DS17" i="15"/>
  <c r="DO17" i="15"/>
  <c r="DK17" i="15"/>
  <c r="DG17" i="15"/>
  <c r="DC17" i="15"/>
  <c r="CY17" i="15"/>
  <c r="CU17" i="15"/>
  <c r="CQ17" i="15"/>
  <c r="CH6" i="15"/>
  <c r="CH7" i="15"/>
  <c r="CH8" i="15"/>
  <c r="CH9" i="15"/>
  <c r="CH10" i="15"/>
  <c r="CH11" i="15"/>
  <c r="CH12" i="15"/>
  <c r="CH13" i="15"/>
  <c r="CH14" i="15"/>
  <c r="CH15" i="15"/>
  <c r="CH16" i="15"/>
  <c r="CH17" i="15"/>
  <c r="CH18" i="15"/>
  <c r="CH19" i="15"/>
  <c r="CH20" i="15"/>
  <c r="CH21" i="15"/>
  <c r="CH22" i="15"/>
  <c r="CH23" i="15"/>
  <c r="CH24" i="15"/>
  <c r="CH25" i="15"/>
  <c r="CH26" i="15"/>
  <c r="CH27" i="15"/>
  <c r="CH28" i="15"/>
  <c r="CH29" i="15"/>
  <c r="CH30" i="15"/>
  <c r="CH31" i="15"/>
  <c r="CH32" i="15"/>
  <c r="CH33" i="15"/>
  <c r="CH34" i="15"/>
  <c r="CH35" i="15"/>
  <c r="CH36" i="15"/>
  <c r="CH37" i="15"/>
  <c r="CH38" i="15"/>
  <c r="CH39" i="15"/>
  <c r="CH40" i="15"/>
  <c r="CH41" i="15"/>
  <c r="CH42" i="15"/>
  <c r="CH43" i="15"/>
  <c r="CH44" i="15"/>
  <c r="CH45" i="15"/>
  <c r="CH46" i="15"/>
  <c r="CH47" i="15"/>
  <c r="CH48" i="15"/>
  <c r="CH49" i="15"/>
  <c r="CH50" i="15"/>
  <c r="CH51" i="15"/>
  <c r="CH52" i="15"/>
  <c r="CH53" i="15"/>
  <c r="CH54" i="15"/>
  <c r="CH55" i="15"/>
  <c r="CH56" i="15"/>
  <c r="CH57" i="15"/>
  <c r="CH58" i="15"/>
  <c r="CH59" i="15"/>
  <c r="CH60" i="15"/>
  <c r="CH61" i="15"/>
  <c r="CH62" i="15"/>
  <c r="CH63" i="15"/>
  <c r="CH64" i="15"/>
  <c r="CH65" i="15"/>
  <c r="CH66" i="15"/>
  <c r="CH67" i="15"/>
  <c r="CH68" i="15"/>
  <c r="CH69" i="15"/>
  <c r="CH70" i="15"/>
  <c r="CH71" i="15"/>
  <c r="CH72" i="15"/>
  <c r="CH73" i="15"/>
  <c r="CH74" i="15"/>
  <c r="CH75" i="15"/>
  <c r="CH76" i="15"/>
  <c r="CH77" i="15"/>
  <c r="CH78" i="15"/>
  <c r="CH79" i="15"/>
  <c r="CH80" i="15"/>
  <c r="CH81" i="15"/>
  <c r="CH82" i="15"/>
  <c r="CH83" i="15"/>
  <c r="CH84" i="15"/>
  <c r="CH85" i="15"/>
  <c r="CH86" i="15"/>
  <c r="CH87" i="15"/>
  <c r="CH88" i="15"/>
  <c r="CH89" i="15"/>
  <c r="CH90" i="15"/>
  <c r="CH91" i="15"/>
  <c r="CH92" i="15"/>
  <c r="CH93" i="15"/>
  <c r="CH94" i="15"/>
  <c r="CH95" i="15"/>
  <c r="CH96" i="15"/>
  <c r="CH97" i="15"/>
  <c r="CH98" i="15"/>
  <c r="CH99" i="15"/>
  <c r="CD6" i="15"/>
  <c r="CD7" i="15"/>
  <c r="CD8" i="15"/>
  <c r="CD9" i="15"/>
  <c r="CD10" i="15"/>
  <c r="CD11" i="15"/>
  <c r="CD12" i="15"/>
  <c r="CD13" i="15"/>
  <c r="CD14" i="15"/>
  <c r="CD15" i="15"/>
  <c r="CD16" i="15"/>
  <c r="CD17" i="15"/>
  <c r="CD18" i="15"/>
  <c r="CD19" i="15"/>
  <c r="CD20" i="15"/>
  <c r="CD21" i="15"/>
  <c r="CD22" i="15"/>
  <c r="CD23" i="15"/>
  <c r="CD24" i="15"/>
  <c r="CD25" i="15"/>
  <c r="CD26" i="15"/>
  <c r="CD27" i="15"/>
  <c r="CD28" i="15"/>
  <c r="CD29" i="15"/>
  <c r="CD30" i="15"/>
  <c r="CD31" i="15"/>
  <c r="CD32" i="15"/>
  <c r="CD33" i="15"/>
  <c r="CD34" i="15"/>
  <c r="CD35" i="15"/>
  <c r="CD36" i="15"/>
  <c r="CD37" i="15"/>
  <c r="CD38" i="15"/>
  <c r="CD39" i="15"/>
  <c r="CD40" i="15"/>
  <c r="CD41" i="15"/>
  <c r="CD42" i="15"/>
  <c r="CD43" i="15"/>
  <c r="CD44" i="15"/>
  <c r="CD45" i="15"/>
  <c r="CD46" i="15"/>
  <c r="CD47" i="15"/>
  <c r="CD48" i="15"/>
  <c r="CD49" i="15"/>
  <c r="CD50" i="15"/>
  <c r="CD51" i="15"/>
  <c r="CD52" i="15"/>
  <c r="CD53" i="15"/>
  <c r="CD54" i="15"/>
  <c r="CD55" i="15"/>
  <c r="CD56" i="15"/>
  <c r="CD57" i="15"/>
  <c r="CD58" i="15"/>
  <c r="CD59" i="15"/>
  <c r="CD60" i="15"/>
  <c r="CD61" i="15"/>
  <c r="CD62" i="15"/>
  <c r="CD63" i="15"/>
  <c r="CD64" i="15"/>
  <c r="CD65" i="15"/>
  <c r="CD66" i="15"/>
  <c r="CD67" i="15"/>
  <c r="CD68" i="15"/>
  <c r="CD69" i="15"/>
  <c r="CD70" i="15"/>
  <c r="CD71" i="15"/>
  <c r="CD72" i="15"/>
  <c r="CD73" i="15"/>
  <c r="CD74" i="15"/>
  <c r="CD75" i="15"/>
  <c r="CD76" i="15"/>
  <c r="CD77" i="15"/>
  <c r="CD78" i="15"/>
  <c r="CD79" i="15"/>
  <c r="CD80" i="15"/>
  <c r="CD81" i="15"/>
  <c r="CD82" i="15"/>
  <c r="CD83" i="15"/>
  <c r="CD84" i="15"/>
  <c r="CD85" i="15"/>
  <c r="CD86" i="15"/>
  <c r="CD87" i="15"/>
  <c r="CD88" i="15"/>
  <c r="CD89" i="15"/>
  <c r="CD90" i="15"/>
  <c r="CD91" i="15"/>
  <c r="CD92" i="15"/>
  <c r="CD93" i="15"/>
  <c r="CD94" i="15"/>
  <c r="CD95" i="15"/>
  <c r="CD96" i="15"/>
  <c r="CD97" i="15"/>
  <c r="CD98" i="15"/>
  <c r="CD99" i="15"/>
  <c r="BY98" i="15"/>
  <c r="BT98" i="15"/>
  <c r="BU98" i="15" s="1"/>
  <c r="BQ98" i="15"/>
  <c r="BM98" i="15"/>
  <c r="BI98" i="15"/>
  <c r="BE98" i="15"/>
  <c r="BA98" i="15"/>
  <c r="AW98" i="15"/>
  <c r="BY92" i="15"/>
  <c r="BT92" i="15"/>
  <c r="BU92" i="15" s="1"/>
  <c r="BQ92" i="15"/>
  <c r="BM92" i="15"/>
  <c r="BI92" i="15"/>
  <c r="BE92" i="15"/>
  <c r="BA92" i="15"/>
  <c r="AW92" i="15"/>
  <c r="BY88" i="15"/>
  <c r="BT88" i="15"/>
  <c r="BU88" i="15" s="1"/>
  <c r="BQ88" i="15"/>
  <c r="BM88" i="15"/>
  <c r="BI88" i="15"/>
  <c r="BE88" i="15"/>
  <c r="BA88" i="15"/>
  <c r="AW88" i="15"/>
  <c r="BY80" i="15"/>
  <c r="BT80" i="15"/>
  <c r="BU80" i="15" s="1"/>
  <c r="BQ80" i="15"/>
  <c r="BM80" i="15"/>
  <c r="BI80" i="15"/>
  <c r="BE80" i="15"/>
  <c r="BA80" i="15"/>
  <c r="AW80" i="15"/>
  <c r="BY79" i="15"/>
  <c r="BT79" i="15"/>
  <c r="BU79" i="15" s="1"/>
  <c r="BQ79" i="15"/>
  <c r="BM79" i="15"/>
  <c r="BI79" i="15"/>
  <c r="BE79" i="15"/>
  <c r="BA79" i="15"/>
  <c r="AW79" i="15"/>
  <c r="BY78" i="15"/>
  <c r="BT78" i="15"/>
  <c r="BU78" i="15" s="1"/>
  <c r="BQ78" i="15"/>
  <c r="BM78" i="15"/>
  <c r="BI78" i="15"/>
  <c r="BE78" i="15"/>
  <c r="BA78" i="15"/>
  <c r="AW78" i="15"/>
  <c r="BY77" i="15"/>
  <c r="BT77" i="15"/>
  <c r="BU77" i="15" s="1"/>
  <c r="BQ77" i="15"/>
  <c r="BM77" i="15"/>
  <c r="BI77" i="15"/>
  <c r="BE77" i="15"/>
  <c r="BA77" i="15"/>
  <c r="AW77" i="15"/>
  <c r="BY75" i="15"/>
  <c r="BT75" i="15"/>
  <c r="BU75" i="15" s="1"/>
  <c r="BQ75" i="15"/>
  <c r="BM75" i="15"/>
  <c r="BI75" i="15"/>
  <c r="BE75" i="15"/>
  <c r="BA75" i="15"/>
  <c r="AW75" i="15"/>
  <c r="BY70" i="15"/>
  <c r="BT70" i="15"/>
  <c r="BU70" i="15" s="1"/>
  <c r="BQ70" i="15"/>
  <c r="BM70" i="15"/>
  <c r="BI70" i="15"/>
  <c r="BE70" i="15"/>
  <c r="BA70" i="15"/>
  <c r="AW70" i="15"/>
  <c r="BY69" i="15"/>
  <c r="BT69" i="15"/>
  <c r="BU69" i="15" s="1"/>
  <c r="BQ69" i="15"/>
  <c r="BM69" i="15"/>
  <c r="BI69" i="15"/>
  <c r="BE69" i="15"/>
  <c r="BA69" i="15"/>
  <c r="AW69" i="15"/>
  <c r="BY65" i="15"/>
  <c r="BT65" i="15"/>
  <c r="BU65" i="15" s="1"/>
  <c r="BQ65" i="15"/>
  <c r="BM65" i="15"/>
  <c r="BI65" i="15"/>
  <c r="BE65" i="15"/>
  <c r="BA65" i="15"/>
  <c r="AW65" i="15"/>
  <c r="BY59" i="15"/>
  <c r="BT59" i="15"/>
  <c r="BU59" i="15" s="1"/>
  <c r="BQ59" i="15"/>
  <c r="BM59" i="15"/>
  <c r="BI59" i="15"/>
  <c r="BE59" i="15"/>
  <c r="BA59" i="15"/>
  <c r="AW59" i="15"/>
  <c r="BY46" i="15"/>
  <c r="BT46" i="15"/>
  <c r="BU46" i="15" s="1"/>
  <c r="BQ46" i="15"/>
  <c r="BM46" i="15"/>
  <c r="BI46" i="15"/>
  <c r="BE46" i="15"/>
  <c r="BA46" i="15"/>
  <c r="AW46" i="15"/>
  <c r="BY45" i="15"/>
  <c r="BT45" i="15"/>
  <c r="BU45" i="15" s="1"/>
  <c r="BQ45" i="15"/>
  <c r="BM45" i="15"/>
  <c r="BI45" i="15"/>
  <c r="BE45" i="15"/>
  <c r="BA45" i="15"/>
  <c r="AW45" i="15"/>
  <c r="BY44" i="15"/>
  <c r="BT44" i="15"/>
  <c r="BU44" i="15" s="1"/>
  <c r="BQ44" i="15"/>
  <c r="BM44" i="15"/>
  <c r="BI44" i="15"/>
  <c r="BE44" i="15"/>
  <c r="BA44" i="15"/>
  <c r="AW44" i="15"/>
  <c r="BY43" i="15"/>
  <c r="BT43" i="15"/>
  <c r="BU43" i="15" s="1"/>
  <c r="BQ43" i="15"/>
  <c r="BM43" i="15"/>
  <c r="BI43" i="15"/>
  <c r="BE43" i="15"/>
  <c r="BA43" i="15"/>
  <c r="AW43" i="15"/>
  <c r="BY33" i="15"/>
  <c r="BT33" i="15"/>
  <c r="BU33" i="15" s="1"/>
  <c r="BQ33" i="15"/>
  <c r="BM33" i="15"/>
  <c r="BI33" i="15"/>
  <c r="BE33" i="15"/>
  <c r="BA33" i="15"/>
  <c r="AW33" i="15"/>
  <c r="BY32" i="15"/>
  <c r="BT32" i="15"/>
  <c r="BU32" i="15" s="1"/>
  <c r="BQ32" i="15"/>
  <c r="BM32" i="15"/>
  <c r="BI32" i="15"/>
  <c r="BE32" i="15"/>
  <c r="BA32" i="15"/>
  <c r="AW32" i="15"/>
  <c r="BY31" i="15"/>
  <c r="BT31" i="15"/>
  <c r="BU31" i="15" s="1"/>
  <c r="BQ31" i="15"/>
  <c r="BM31" i="15"/>
  <c r="BI31" i="15"/>
  <c r="BE31" i="15"/>
  <c r="BA31" i="15"/>
  <c r="AW31" i="15"/>
  <c r="BY30" i="15"/>
  <c r="BT30" i="15"/>
  <c r="BU30" i="15" s="1"/>
  <c r="BQ30" i="15"/>
  <c r="BM30" i="15"/>
  <c r="BI30" i="15"/>
  <c r="BE30" i="15"/>
  <c r="BA30" i="15"/>
  <c r="AW30" i="15"/>
  <c r="BY29" i="15"/>
  <c r="BT29" i="15"/>
  <c r="BU29" i="15" s="1"/>
  <c r="BQ29" i="15"/>
  <c r="BM29" i="15"/>
  <c r="BI29" i="15"/>
  <c r="BE29" i="15"/>
  <c r="BA29" i="15"/>
  <c r="AW29" i="15"/>
  <c r="BY28" i="15"/>
  <c r="BT28" i="15"/>
  <c r="BU28" i="15" s="1"/>
  <c r="BQ28" i="15"/>
  <c r="BM28" i="15"/>
  <c r="BI28" i="15"/>
  <c r="BE28" i="15"/>
  <c r="BA28" i="15"/>
  <c r="AW28" i="15"/>
  <c r="BY27" i="15"/>
  <c r="BT27" i="15"/>
  <c r="BU27" i="15" s="1"/>
  <c r="BQ27" i="15"/>
  <c r="BM27" i="15"/>
  <c r="BI27" i="15"/>
  <c r="BE27" i="15"/>
  <c r="BA27" i="15"/>
  <c r="AW27" i="15"/>
  <c r="BY14" i="15"/>
  <c r="BT14" i="15"/>
  <c r="BU14" i="15" s="1"/>
  <c r="BQ14" i="15"/>
  <c r="BM14" i="15"/>
  <c r="BI14" i="15"/>
  <c r="BE14" i="15"/>
  <c r="BA14" i="15"/>
  <c r="AW14" i="15"/>
  <c r="BM15" i="15"/>
  <c r="BM16" i="15"/>
  <c r="BM17" i="15"/>
  <c r="BM18" i="15"/>
  <c r="BM19" i="15"/>
  <c r="BM20" i="15"/>
  <c r="BM21" i="15"/>
  <c r="BM22" i="15"/>
  <c r="BM23" i="15"/>
  <c r="BM24" i="15"/>
  <c r="BM25" i="15"/>
  <c r="BM26" i="15"/>
  <c r="BM34" i="15"/>
  <c r="BM35" i="15"/>
  <c r="BM36" i="15"/>
  <c r="BM37" i="15"/>
  <c r="BM38" i="15"/>
  <c r="BM39" i="15"/>
  <c r="BM40" i="15"/>
  <c r="BM41" i="15"/>
  <c r="BM42" i="15"/>
  <c r="BM47" i="15"/>
  <c r="BM48" i="15"/>
  <c r="BM49" i="15"/>
  <c r="BM50" i="15"/>
  <c r="BM51" i="15"/>
  <c r="BM52" i="15"/>
  <c r="BM53" i="15"/>
  <c r="BM54" i="15"/>
  <c r="BM55" i="15"/>
  <c r="BM56" i="15"/>
  <c r="BM57" i="15"/>
  <c r="BM58" i="15"/>
  <c r="BM60" i="15"/>
  <c r="BM61" i="15"/>
  <c r="BM62" i="15"/>
  <c r="BM63" i="15"/>
  <c r="BM64" i="15"/>
  <c r="BM66" i="15"/>
  <c r="BM67" i="15"/>
  <c r="BM68" i="15"/>
  <c r="BM71" i="15"/>
  <c r="BM72" i="15"/>
  <c r="BM73" i="15"/>
  <c r="BM74" i="15"/>
  <c r="BM76" i="15"/>
  <c r="BM81" i="15"/>
  <c r="BM82" i="15"/>
  <c r="BM83" i="15"/>
  <c r="BM84" i="15"/>
  <c r="BM85" i="15"/>
  <c r="BM86" i="15"/>
  <c r="BM87" i="15"/>
  <c r="BM89" i="15"/>
  <c r="BM90" i="15"/>
  <c r="BM91" i="15"/>
  <c r="BM93" i="15"/>
  <c r="BM94" i="15"/>
  <c r="BM95" i="15"/>
  <c r="BM96" i="15"/>
  <c r="BM97" i="15"/>
  <c r="BM99" i="15"/>
  <c r="AQ21" i="15"/>
  <c r="AQ22" i="15"/>
  <c r="AQ23" i="15"/>
  <c r="AQ24" i="15"/>
  <c r="AQ25" i="15"/>
  <c r="AQ26" i="15"/>
  <c r="AQ27" i="15"/>
  <c r="AQ28" i="15"/>
  <c r="AQ29" i="15"/>
  <c r="AQ30" i="15"/>
  <c r="AQ31" i="15"/>
  <c r="AQ32" i="15"/>
  <c r="AQ33" i="15"/>
  <c r="AQ34" i="15"/>
  <c r="AQ35" i="15"/>
  <c r="AQ36" i="15"/>
  <c r="AQ37" i="15"/>
  <c r="AQ38" i="15"/>
  <c r="AQ39" i="15"/>
  <c r="AQ40" i="15"/>
  <c r="AQ41" i="15"/>
  <c r="AQ42" i="15"/>
  <c r="AQ43" i="15"/>
  <c r="AQ44" i="15"/>
  <c r="AQ45" i="15"/>
  <c r="AQ46" i="15"/>
  <c r="AQ47" i="15"/>
  <c r="AQ48" i="15"/>
  <c r="AQ49" i="15"/>
  <c r="AQ50" i="15"/>
  <c r="AQ51" i="15"/>
  <c r="AQ52" i="15"/>
  <c r="AQ53" i="15"/>
  <c r="AQ54" i="15"/>
  <c r="AQ55" i="15"/>
  <c r="AQ56" i="15"/>
  <c r="AQ57" i="15"/>
  <c r="AQ58" i="15"/>
  <c r="AQ59" i="15"/>
  <c r="AQ60" i="15"/>
  <c r="AQ61" i="15"/>
  <c r="AQ62" i="15"/>
  <c r="AQ63" i="15"/>
  <c r="AQ64" i="15"/>
  <c r="AQ65" i="15"/>
  <c r="AQ66" i="15"/>
  <c r="AQ67" i="15"/>
  <c r="AQ68" i="15"/>
  <c r="AQ69" i="15"/>
  <c r="AQ70" i="15"/>
  <c r="AQ71" i="15"/>
  <c r="AQ72" i="15"/>
  <c r="AQ73" i="15"/>
  <c r="AQ74" i="15"/>
  <c r="AQ75" i="15"/>
  <c r="AQ76" i="15"/>
  <c r="AQ77" i="15"/>
  <c r="AQ78" i="15"/>
  <c r="AQ79" i="15"/>
  <c r="AQ80" i="15"/>
  <c r="AQ81" i="15"/>
  <c r="AQ82" i="15"/>
  <c r="AQ83" i="15"/>
  <c r="AQ84" i="15"/>
  <c r="AQ85" i="15"/>
  <c r="AQ86" i="15"/>
  <c r="AQ87" i="15"/>
  <c r="AQ88" i="15"/>
  <c r="AQ89" i="15"/>
  <c r="AQ90" i="15"/>
  <c r="AQ91" i="15"/>
  <c r="AQ92" i="15"/>
  <c r="AQ93" i="15"/>
  <c r="AQ94" i="15"/>
  <c r="AQ95" i="15"/>
  <c r="AQ96" i="15"/>
  <c r="AQ97" i="15"/>
  <c r="AQ98" i="15"/>
  <c r="AQ99" i="15"/>
  <c r="AG6" i="15"/>
  <c r="AG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35" i="15"/>
  <c r="AG36" i="15"/>
  <c r="AG37" i="15"/>
  <c r="AG38" i="15"/>
  <c r="AG39" i="15"/>
  <c r="AG40" i="15"/>
  <c r="AG41" i="15"/>
  <c r="AG42" i="15"/>
  <c r="AG43" i="15"/>
  <c r="AG44" i="15"/>
  <c r="AG45" i="15"/>
  <c r="AG46" i="15"/>
  <c r="AG47" i="15"/>
  <c r="AG48" i="15"/>
  <c r="AG49" i="15"/>
  <c r="AG50" i="15"/>
  <c r="AG51" i="15"/>
  <c r="AG52" i="15"/>
  <c r="AG53" i="15"/>
  <c r="AG54" i="15"/>
  <c r="AG55" i="15"/>
  <c r="AG56" i="15"/>
  <c r="AG57" i="15"/>
  <c r="AG58" i="15"/>
  <c r="AG59" i="15"/>
  <c r="AG60" i="15"/>
  <c r="AG61" i="15"/>
  <c r="AG62" i="15"/>
  <c r="AG63" i="15"/>
  <c r="AG64" i="15"/>
  <c r="AG65" i="15"/>
  <c r="AG66" i="15"/>
  <c r="AG67" i="15"/>
  <c r="AG68" i="15"/>
  <c r="AG69" i="15"/>
  <c r="AG70" i="15"/>
  <c r="AG71" i="15"/>
  <c r="AG72" i="15"/>
  <c r="AG73" i="15"/>
  <c r="AG74" i="15"/>
  <c r="AG75" i="15"/>
  <c r="AG76" i="15"/>
  <c r="AG77" i="15"/>
  <c r="AG78" i="15"/>
  <c r="AG79" i="15"/>
  <c r="AG80" i="15"/>
  <c r="AG81" i="15"/>
  <c r="AG82" i="15"/>
  <c r="AG83" i="15"/>
  <c r="AG84" i="15"/>
  <c r="AG85" i="15"/>
  <c r="AG86" i="15"/>
  <c r="AG87" i="15"/>
  <c r="AG88" i="15"/>
  <c r="AG89" i="15"/>
  <c r="AG90" i="15"/>
  <c r="AG91" i="15"/>
  <c r="AG92" i="15"/>
  <c r="AG93" i="15"/>
  <c r="AG94" i="15"/>
  <c r="AG95" i="15"/>
  <c r="AG96" i="15"/>
  <c r="AG97" i="15"/>
  <c r="AG98" i="15"/>
  <c r="AG99" i="15"/>
  <c r="AG5" i="15"/>
  <c r="GM103" i="15" l="1"/>
  <c r="GS103" i="15" s="1"/>
  <c r="GM100" i="15"/>
  <c r="GS100" i="15" s="1"/>
  <c r="GM104" i="15"/>
  <c r="GS104" i="15" s="1"/>
  <c r="GM102" i="15"/>
  <c r="GR102" i="15" s="1"/>
  <c r="CM94" i="15"/>
  <c r="CM93" i="15"/>
  <c r="BZ70" i="15"/>
  <c r="BZ79" i="15"/>
  <c r="BZ69" i="15"/>
  <c r="BZ75" i="15"/>
  <c r="BZ78" i="15"/>
  <c r="BZ80" i="15"/>
  <c r="DT43" i="15"/>
  <c r="GM101" i="15"/>
  <c r="BZ27" i="15"/>
  <c r="BZ88" i="15"/>
  <c r="BZ31" i="15"/>
  <c r="BZ28" i="15"/>
  <c r="DT23" i="15"/>
  <c r="BZ32" i="15"/>
  <c r="BZ46" i="15"/>
  <c r="DT59" i="15"/>
  <c r="DT65" i="15"/>
  <c r="DT75" i="15"/>
  <c r="BZ33" i="15"/>
  <c r="BZ59" i="15"/>
  <c r="DT32" i="15"/>
  <c r="DT18" i="15"/>
  <c r="DT24" i="15"/>
  <c r="DT28" i="15"/>
  <c r="DT30" i="15"/>
  <c r="DT44" i="15"/>
  <c r="DT46" i="15"/>
  <c r="DT69" i="15"/>
  <c r="DT77" i="15"/>
  <c r="DT80" i="15"/>
  <c r="DT64" i="15"/>
  <c r="BZ30" i="15"/>
  <c r="BZ29" i="15"/>
  <c r="DT17" i="15"/>
  <c r="DT21" i="15"/>
  <c r="DT27" i="15"/>
  <c r="DT29" i="15"/>
  <c r="DT31" i="15"/>
  <c r="DT33" i="15"/>
  <c r="DT45" i="15"/>
  <c r="DT70" i="15"/>
  <c r="DT78" i="15"/>
  <c r="DT79" i="15"/>
  <c r="DT88" i="15"/>
  <c r="DT92" i="15"/>
  <c r="DT98" i="15"/>
  <c r="BZ65" i="15"/>
  <c r="BZ45" i="15"/>
  <c r="BZ14" i="15"/>
  <c r="BZ98" i="15"/>
  <c r="BZ92" i="15"/>
  <c r="BZ77" i="15"/>
  <c r="BZ44" i="15"/>
  <c r="BZ43" i="15"/>
  <c r="GS102" i="15" l="1"/>
  <c r="GR104" i="15"/>
  <c r="GR100" i="15"/>
  <c r="GR103" i="15"/>
  <c r="GR101" i="15"/>
  <c r="GS101" i="15"/>
  <c r="GN98" i="15"/>
  <c r="EH94" i="15"/>
  <c r="EJ94" i="15" s="1"/>
  <c r="GN94" i="15"/>
  <c r="GP94" i="15" s="1"/>
  <c r="GQ93" i="15" l="1"/>
  <c r="EH93" i="15"/>
  <c r="EJ93" i="15" s="1"/>
  <c r="GN93" i="15"/>
  <c r="GP93" i="15" s="1"/>
  <c r="GN79" i="15"/>
  <c r="GN99" i="15"/>
  <c r="GN80" i="15"/>
  <c r="GN81" i="15"/>
  <c r="GN82" i="15"/>
  <c r="GN83" i="15"/>
  <c r="GN84" i="15"/>
  <c r="GN85" i="15"/>
  <c r="GN86" i="15"/>
  <c r="GN87" i="15"/>
  <c r="FH93" i="15"/>
  <c r="FH94" i="15"/>
  <c r="DW89" i="15"/>
  <c r="DW95" i="15"/>
  <c r="DW90" i="15"/>
  <c r="DW91" i="15"/>
  <c r="DW92" i="15"/>
  <c r="DW93" i="15"/>
  <c r="DW94" i="15"/>
  <c r="DV93" i="15"/>
  <c r="DV94" i="15"/>
  <c r="DX94" i="15" s="1"/>
  <c r="DV92" i="15"/>
  <c r="DV95" i="15"/>
  <c r="DV90" i="15"/>
  <c r="DV91" i="15"/>
  <c r="GN89" i="15"/>
  <c r="DX93" i="15" l="1"/>
  <c r="FI93" i="15" s="1"/>
  <c r="GM93" i="15" s="1"/>
  <c r="GR93" i="15" s="1"/>
  <c r="FI94" i="15"/>
  <c r="GM94" i="15" s="1"/>
  <c r="GS94" i="15" s="1"/>
  <c r="GQ70" i="15"/>
  <c r="GN70" i="15"/>
  <c r="GP70" i="15" s="1"/>
  <c r="GK70" i="15"/>
  <c r="GG70" i="15"/>
  <c r="GC70" i="15"/>
  <c r="FY70" i="15"/>
  <c r="FU70" i="15"/>
  <c r="FQ70" i="15"/>
  <c r="FM70" i="15"/>
  <c r="FF70" i="15"/>
  <c r="FH70" i="15" s="1"/>
  <c r="FD70" i="15"/>
  <c r="EZ70" i="15"/>
  <c r="EV70" i="15"/>
  <c r="EP70" i="15"/>
  <c r="ER70" i="15" s="1"/>
  <c r="EL70" i="15"/>
  <c r="EN70" i="15" s="1"/>
  <c r="EH70" i="15"/>
  <c r="EJ70" i="15" s="1"/>
  <c r="ED70" i="15"/>
  <c r="EF70" i="15" s="1"/>
  <c r="DZ70" i="15"/>
  <c r="EB70" i="15" s="1"/>
  <c r="DW70" i="15"/>
  <c r="DV70" i="15"/>
  <c r="CL70" i="15"/>
  <c r="EP97" i="15"/>
  <c r="ER97" i="15" s="1"/>
  <c r="DV97" i="15"/>
  <c r="FY58" i="15"/>
  <c r="GQ6" i="15"/>
  <c r="GQ7" i="15"/>
  <c r="GQ8" i="15"/>
  <c r="GQ9" i="15"/>
  <c r="GQ10" i="15"/>
  <c r="GQ11" i="15"/>
  <c r="GQ12" i="15"/>
  <c r="GQ13" i="15"/>
  <c r="GQ14" i="15"/>
  <c r="GQ15" i="15"/>
  <c r="GQ16" i="15"/>
  <c r="GQ17" i="15"/>
  <c r="GQ18" i="15"/>
  <c r="GQ19" i="15"/>
  <c r="GQ20" i="15"/>
  <c r="GQ21" i="15"/>
  <c r="GQ22" i="15"/>
  <c r="GQ23" i="15"/>
  <c r="GQ24" i="15"/>
  <c r="GQ25" i="15"/>
  <c r="GQ26" i="15"/>
  <c r="GQ27" i="15"/>
  <c r="GQ28" i="15"/>
  <c r="GQ29" i="15"/>
  <c r="GQ30" i="15"/>
  <c r="GQ31" i="15"/>
  <c r="GQ32" i="15"/>
  <c r="GQ33" i="15"/>
  <c r="GQ34" i="15"/>
  <c r="GQ35" i="15"/>
  <c r="GQ36" i="15"/>
  <c r="GQ37" i="15"/>
  <c r="GQ38" i="15"/>
  <c r="GQ39" i="15"/>
  <c r="GQ40" i="15"/>
  <c r="GQ41" i="15"/>
  <c r="GQ42" i="15"/>
  <c r="GQ43" i="15"/>
  <c r="GQ44" i="15"/>
  <c r="GQ45" i="15"/>
  <c r="GQ46" i="15"/>
  <c r="GQ47" i="15"/>
  <c r="GQ48" i="15"/>
  <c r="GQ49" i="15"/>
  <c r="GQ50" i="15"/>
  <c r="GQ51" i="15"/>
  <c r="GQ52" i="15"/>
  <c r="GQ53" i="15"/>
  <c r="GQ54" i="15"/>
  <c r="GQ55" i="15"/>
  <c r="GQ56" i="15"/>
  <c r="GQ57" i="15"/>
  <c r="GQ97" i="15"/>
  <c r="GQ60" i="15"/>
  <c r="GQ61" i="15"/>
  <c r="GQ62" i="15"/>
  <c r="GQ63" i="15"/>
  <c r="GQ64" i="15"/>
  <c r="GQ65" i="15"/>
  <c r="GQ66" i="15"/>
  <c r="GQ67" i="15"/>
  <c r="GQ68" i="15"/>
  <c r="GQ98" i="15"/>
  <c r="GQ81" i="15"/>
  <c r="GQ69" i="15"/>
  <c r="GQ77" i="15"/>
  <c r="GQ78" i="15"/>
  <c r="GQ99" i="15"/>
  <c r="GQ79" i="15"/>
  <c r="GQ80" i="15"/>
  <c r="GQ71" i="15"/>
  <c r="GQ72" i="15"/>
  <c r="GQ73" i="15"/>
  <c r="GQ74" i="15"/>
  <c r="GQ75" i="15"/>
  <c r="GQ76" i="15"/>
  <c r="GQ82" i="15"/>
  <c r="GQ83" i="15"/>
  <c r="GQ84" i="15"/>
  <c r="GQ85" i="15"/>
  <c r="GQ86" i="15"/>
  <c r="GQ87" i="15"/>
  <c r="GQ88" i="15"/>
  <c r="GQ89" i="15"/>
  <c r="GQ95" i="15"/>
  <c r="GQ90" i="15"/>
  <c r="GQ91" i="15"/>
  <c r="GQ92" i="15"/>
  <c r="GN6" i="15"/>
  <c r="GP6" i="15" s="1"/>
  <c r="GN7" i="15"/>
  <c r="GP7" i="15" s="1"/>
  <c r="GN8" i="15"/>
  <c r="GP8" i="15" s="1"/>
  <c r="GN9" i="15"/>
  <c r="GP9" i="15" s="1"/>
  <c r="GN10" i="15"/>
  <c r="GP10" i="15" s="1"/>
  <c r="GN11" i="15"/>
  <c r="GP11" i="15" s="1"/>
  <c r="GN12" i="15"/>
  <c r="GP12" i="15" s="1"/>
  <c r="GN13" i="15"/>
  <c r="GP13" i="15" s="1"/>
  <c r="GN14" i="15"/>
  <c r="GP14" i="15" s="1"/>
  <c r="GN15" i="15"/>
  <c r="GP15" i="15" s="1"/>
  <c r="GN16" i="15"/>
  <c r="GP16" i="15" s="1"/>
  <c r="GN17" i="15"/>
  <c r="GP17" i="15" s="1"/>
  <c r="GN18" i="15"/>
  <c r="GP18" i="15" s="1"/>
  <c r="GN19" i="15"/>
  <c r="GP19" i="15" s="1"/>
  <c r="GN20" i="15"/>
  <c r="GP20" i="15" s="1"/>
  <c r="GN21" i="15"/>
  <c r="GP21" i="15" s="1"/>
  <c r="GN22" i="15"/>
  <c r="GP22" i="15" s="1"/>
  <c r="GN23" i="15"/>
  <c r="GP23" i="15" s="1"/>
  <c r="GN24" i="15"/>
  <c r="GP24" i="15" s="1"/>
  <c r="GN25" i="15"/>
  <c r="GP25" i="15" s="1"/>
  <c r="GN26" i="15"/>
  <c r="GP26" i="15" s="1"/>
  <c r="GN27" i="15"/>
  <c r="GP27" i="15" s="1"/>
  <c r="GN28" i="15"/>
  <c r="GP28" i="15" s="1"/>
  <c r="GN29" i="15"/>
  <c r="GP29" i="15" s="1"/>
  <c r="GN30" i="15"/>
  <c r="GP30" i="15" s="1"/>
  <c r="GN31" i="15"/>
  <c r="GP31" i="15" s="1"/>
  <c r="GN32" i="15"/>
  <c r="GP32" i="15" s="1"/>
  <c r="GN33" i="15"/>
  <c r="GP33" i="15" s="1"/>
  <c r="GN34" i="15"/>
  <c r="GP34" i="15" s="1"/>
  <c r="GN35" i="15"/>
  <c r="GP35" i="15" s="1"/>
  <c r="GN36" i="15"/>
  <c r="GP36" i="15" s="1"/>
  <c r="GN37" i="15"/>
  <c r="GP37" i="15" s="1"/>
  <c r="GN38" i="15"/>
  <c r="GP38" i="15" s="1"/>
  <c r="GN39" i="15"/>
  <c r="GP39" i="15" s="1"/>
  <c r="GN40" i="15"/>
  <c r="GP40" i="15" s="1"/>
  <c r="GN41" i="15"/>
  <c r="GP41" i="15" s="1"/>
  <c r="GN42" i="15"/>
  <c r="GP42" i="15" s="1"/>
  <c r="GN43" i="15"/>
  <c r="GP43" i="15" s="1"/>
  <c r="GN44" i="15"/>
  <c r="GP44" i="15" s="1"/>
  <c r="GN45" i="15"/>
  <c r="GP45" i="15" s="1"/>
  <c r="GN46" i="15"/>
  <c r="GP46" i="15" s="1"/>
  <c r="GN47" i="15"/>
  <c r="GP47" i="15" s="1"/>
  <c r="GN48" i="15"/>
  <c r="GP48" i="15" s="1"/>
  <c r="GN49" i="15"/>
  <c r="GP49" i="15" s="1"/>
  <c r="GN50" i="15"/>
  <c r="GP50" i="15" s="1"/>
  <c r="GN51" i="15"/>
  <c r="GP51" i="15" s="1"/>
  <c r="GN52" i="15"/>
  <c r="GP52" i="15" s="1"/>
  <c r="GN53" i="15"/>
  <c r="GP53" i="15" s="1"/>
  <c r="GN54" i="15"/>
  <c r="GP54" i="15" s="1"/>
  <c r="GN55" i="15"/>
  <c r="GP55" i="15" s="1"/>
  <c r="GN56" i="15"/>
  <c r="GP56" i="15" s="1"/>
  <c r="GN57" i="15"/>
  <c r="GP57" i="15" s="1"/>
  <c r="GN58" i="15"/>
  <c r="GN59" i="15"/>
  <c r="GN96" i="15"/>
  <c r="GN97" i="15"/>
  <c r="GP97" i="15" s="1"/>
  <c r="GN60" i="15"/>
  <c r="GP60" i="15" s="1"/>
  <c r="GN61" i="15"/>
  <c r="GP61" i="15" s="1"/>
  <c r="GN62" i="15"/>
  <c r="GP62" i="15" s="1"/>
  <c r="GN63" i="15"/>
  <c r="GP63" i="15" s="1"/>
  <c r="GN64" i="15"/>
  <c r="GP64" i="15" s="1"/>
  <c r="GN65" i="15"/>
  <c r="GP65" i="15" s="1"/>
  <c r="GN66" i="15"/>
  <c r="GP66" i="15" s="1"/>
  <c r="GN67" i="15"/>
  <c r="GP67" i="15" s="1"/>
  <c r="GN68" i="15"/>
  <c r="GP68" i="15" s="1"/>
  <c r="GP98" i="15"/>
  <c r="GP81" i="15"/>
  <c r="GN69" i="15"/>
  <c r="GP69" i="15" s="1"/>
  <c r="GN77" i="15"/>
  <c r="GP77" i="15" s="1"/>
  <c r="GN78" i="15"/>
  <c r="GP78" i="15" s="1"/>
  <c r="GP99" i="15"/>
  <c r="GP79" i="15"/>
  <c r="GP80" i="15"/>
  <c r="GN71" i="15"/>
  <c r="GP71" i="15" s="1"/>
  <c r="GN72" i="15"/>
  <c r="GP72" i="15" s="1"/>
  <c r="GN73" i="15"/>
  <c r="GP73" i="15" s="1"/>
  <c r="GN74" i="15"/>
  <c r="GP74" i="15" s="1"/>
  <c r="GN75" i="15"/>
  <c r="GP75" i="15" s="1"/>
  <c r="GN76" i="15"/>
  <c r="GP76" i="15" s="1"/>
  <c r="GP82" i="15"/>
  <c r="GP83" i="15"/>
  <c r="GP84" i="15"/>
  <c r="GP85" i="15"/>
  <c r="GP86" i="15"/>
  <c r="GP87" i="15"/>
  <c r="GN88" i="15"/>
  <c r="GP88" i="15" s="1"/>
  <c r="GP89" i="15"/>
  <c r="GN95" i="15"/>
  <c r="GP95" i="15" s="1"/>
  <c r="GN90" i="15"/>
  <c r="GP90" i="15" s="1"/>
  <c r="GN91" i="15"/>
  <c r="GP91" i="15" s="1"/>
  <c r="GN92" i="15"/>
  <c r="GP92" i="15" s="1"/>
  <c r="GK6" i="15"/>
  <c r="GK7" i="15"/>
  <c r="GK8" i="15"/>
  <c r="GK9" i="15"/>
  <c r="GK10" i="15"/>
  <c r="GK11" i="15"/>
  <c r="GK12" i="15"/>
  <c r="GK13" i="15"/>
  <c r="GK14" i="15"/>
  <c r="GK15" i="15"/>
  <c r="GK16" i="15"/>
  <c r="GK17" i="15"/>
  <c r="GK18" i="15"/>
  <c r="GK19" i="15"/>
  <c r="GK20" i="15"/>
  <c r="GK21" i="15"/>
  <c r="GK22" i="15"/>
  <c r="GK23" i="15"/>
  <c r="GK24" i="15"/>
  <c r="GK25" i="15"/>
  <c r="GK26" i="15"/>
  <c r="GK27" i="15"/>
  <c r="GK28" i="15"/>
  <c r="GK29" i="15"/>
  <c r="GK30" i="15"/>
  <c r="GK31" i="15"/>
  <c r="GK32" i="15"/>
  <c r="GK33" i="15"/>
  <c r="GK34" i="15"/>
  <c r="GK35" i="15"/>
  <c r="GK36" i="15"/>
  <c r="GK37" i="15"/>
  <c r="GK38" i="15"/>
  <c r="GK39" i="15"/>
  <c r="GK40" i="15"/>
  <c r="GK41" i="15"/>
  <c r="GK42" i="15"/>
  <c r="GK43" i="15"/>
  <c r="GK44" i="15"/>
  <c r="GK45" i="15"/>
  <c r="GK46" i="15"/>
  <c r="GK47" i="15"/>
  <c r="GK48" i="15"/>
  <c r="GK49" i="15"/>
  <c r="GK50" i="15"/>
  <c r="GK51" i="15"/>
  <c r="GK52" i="15"/>
  <c r="GK53" i="15"/>
  <c r="GK54" i="15"/>
  <c r="GK55" i="15"/>
  <c r="GK56" i="15"/>
  <c r="GK57" i="15"/>
  <c r="GK58" i="15"/>
  <c r="GK59" i="15"/>
  <c r="GK96" i="15"/>
  <c r="GK97" i="15"/>
  <c r="GK60" i="15"/>
  <c r="GK61" i="15"/>
  <c r="GK62" i="15"/>
  <c r="GK63" i="15"/>
  <c r="GK64" i="15"/>
  <c r="GK65" i="15"/>
  <c r="GK66" i="15"/>
  <c r="GK67" i="15"/>
  <c r="GK68" i="15"/>
  <c r="GK98" i="15"/>
  <c r="GK81" i="15"/>
  <c r="GK69" i="15"/>
  <c r="GK77" i="15"/>
  <c r="GK78" i="15"/>
  <c r="GK99" i="15"/>
  <c r="GK79" i="15"/>
  <c r="GK80" i="15"/>
  <c r="GK71" i="15"/>
  <c r="GK72" i="15"/>
  <c r="GK73" i="15"/>
  <c r="GK74" i="15"/>
  <c r="GK75" i="15"/>
  <c r="GK76" i="15"/>
  <c r="GK82" i="15"/>
  <c r="GK83" i="15"/>
  <c r="GK84" i="15"/>
  <c r="GK85" i="15"/>
  <c r="GK86" i="15"/>
  <c r="GK87" i="15"/>
  <c r="GK88" i="15"/>
  <c r="GK89" i="15"/>
  <c r="GK90" i="15"/>
  <c r="GK91" i="15"/>
  <c r="GK92" i="15"/>
  <c r="GG6" i="15"/>
  <c r="GG7" i="15"/>
  <c r="GG8" i="15"/>
  <c r="GG9" i="15"/>
  <c r="GG10" i="15"/>
  <c r="GG11" i="15"/>
  <c r="GG12" i="15"/>
  <c r="GG13" i="15"/>
  <c r="GG14" i="15"/>
  <c r="GG15" i="15"/>
  <c r="GG16" i="15"/>
  <c r="GG17" i="15"/>
  <c r="GG18" i="15"/>
  <c r="GG19" i="15"/>
  <c r="GG20" i="15"/>
  <c r="GG21" i="15"/>
  <c r="GG22" i="15"/>
  <c r="GG23" i="15"/>
  <c r="GG24" i="15"/>
  <c r="GG25" i="15"/>
  <c r="GG26" i="15"/>
  <c r="GG27" i="15"/>
  <c r="GG28" i="15"/>
  <c r="GG29" i="15"/>
  <c r="GG30" i="15"/>
  <c r="GG31" i="15"/>
  <c r="GG32" i="15"/>
  <c r="GG33" i="15"/>
  <c r="GG34" i="15"/>
  <c r="GG35" i="15"/>
  <c r="GG36" i="15"/>
  <c r="GG37" i="15"/>
  <c r="GG38" i="15"/>
  <c r="GG39" i="15"/>
  <c r="GG40" i="15"/>
  <c r="GG41" i="15"/>
  <c r="GG42" i="15"/>
  <c r="GG43" i="15"/>
  <c r="GG44" i="15"/>
  <c r="GG45" i="15"/>
  <c r="GG46" i="15"/>
  <c r="GG47" i="15"/>
  <c r="GG48" i="15"/>
  <c r="GG49" i="15"/>
  <c r="GG50" i="15"/>
  <c r="GG51" i="15"/>
  <c r="GG52" i="15"/>
  <c r="GG53" i="15"/>
  <c r="GG54" i="15"/>
  <c r="GG55" i="15"/>
  <c r="GG56" i="15"/>
  <c r="GG57" i="15"/>
  <c r="GG58" i="15"/>
  <c r="GG59" i="15"/>
  <c r="GG96" i="15"/>
  <c r="GG97" i="15"/>
  <c r="GG60" i="15"/>
  <c r="GG61" i="15"/>
  <c r="GG62" i="15"/>
  <c r="GG63" i="15"/>
  <c r="GG64" i="15"/>
  <c r="GG65" i="15"/>
  <c r="GG66" i="15"/>
  <c r="GG67" i="15"/>
  <c r="GG68" i="15"/>
  <c r="GG98" i="15"/>
  <c r="GG81" i="15"/>
  <c r="GG69" i="15"/>
  <c r="GG77" i="15"/>
  <c r="GG78" i="15"/>
  <c r="GG99" i="15"/>
  <c r="GG79" i="15"/>
  <c r="GG80" i="15"/>
  <c r="GG71" i="15"/>
  <c r="GG72" i="15"/>
  <c r="GG73" i="15"/>
  <c r="GG74" i="15"/>
  <c r="GG75" i="15"/>
  <c r="GG76" i="15"/>
  <c r="GG82" i="15"/>
  <c r="GG83" i="15"/>
  <c r="GG84" i="15"/>
  <c r="GG85" i="15"/>
  <c r="GG86" i="15"/>
  <c r="GG87" i="15"/>
  <c r="GG88" i="15"/>
  <c r="GG89" i="15"/>
  <c r="GG90" i="15"/>
  <c r="GG91" i="15"/>
  <c r="GG92" i="15"/>
  <c r="GC6" i="15"/>
  <c r="GC7" i="15"/>
  <c r="GC8" i="15"/>
  <c r="GC9" i="15"/>
  <c r="GC10" i="15"/>
  <c r="GC11" i="15"/>
  <c r="GC12" i="15"/>
  <c r="GC13" i="15"/>
  <c r="GC14" i="15"/>
  <c r="GC15" i="15"/>
  <c r="GC16" i="15"/>
  <c r="GC17" i="15"/>
  <c r="GC18" i="15"/>
  <c r="GC19" i="15"/>
  <c r="GC20" i="15"/>
  <c r="GC21" i="15"/>
  <c r="GC22" i="15"/>
  <c r="GC23" i="15"/>
  <c r="GC24" i="15"/>
  <c r="GC25" i="15"/>
  <c r="GC26" i="15"/>
  <c r="GC27" i="15"/>
  <c r="GC28" i="15"/>
  <c r="GC29" i="15"/>
  <c r="GC30" i="15"/>
  <c r="GC31" i="15"/>
  <c r="GC32" i="15"/>
  <c r="GC33" i="15"/>
  <c r="GC34" i="15"/>
  <c r="GC35" i="15"/>
  <c r="GC36" i="15"/>
  <c r="GC37" i="15"/>
  <c r="GC38" i="15"/>
  <c r="GC39" i="15"/>
  <c r="GC40" i="15"/>
  <c r="GC41" i="15"/>
  <c r="GC42" i="15"/>
  <c r="GC43" i="15"/>
  <c r="GC44" i="15"/>
  <c r="GC45" i="15"/>
  <c r="GC46" i="15"/>
  <c r="GC47" i="15"/>
  <c r="GC48" i="15"/>
  <c r="GC49" i="15"/>
  <c r="GC50" i="15"/>
  <c r="GC51" i="15"/>
  <c r="GC52" i="15"/>
  <c r="GC53" i="15"/>
  <c r="GC54" i="15"/>
  <c r="GC55" i="15"/>
  <c r="GC56" i="15"/>
  <c r="GC57" i="15"/>
  <c r="GC58" i="15"/>
  <c r="GC59" i="15"/>
  <c r="GC96" i="15"/>
  <c r="GC97" i="15"/>
  <c r="GC60" i="15"/>
  <c r="GC61" i="15"/>
  <c r="GC62" i="15"/>
  <c r="GC63" i="15"/>
  <c r="GC64" i="15"/>
  <c r="GC65" i="15"/>
  <c r="GC66" i="15"/>
  <c r="GC67" i="15"/>
  <c r="GC68" i="15"/>
  <c r="GC98" i="15"/>
  <c r="GC81" i="15"/>
  <c r="GC69" i="15"/>
  <c r="GC77" i="15"/>
  <c r="GC78" i="15"/>
  <c r="GC99" i="15"/>
  <c r="GC79" i="15"/>
  <c r="GC80" i="15"/>
  <c r="GC71" i="15"/>
  <c r="GC72" i="15"/>
  <c r="GC73" i="15"/>
  <c r="GC74" i="15"/>
  <c r="GC75" i="15"/>
  <c r="GC76" i="15"/>
  <c r="GC82" i="15"/>
  <c r="GC83" i="15"/>
  <c r="GC84" i="15"/>
  <c r="GC85" i="15"/>
  <c r="GC86" i="15"/>
  <c r="GC87" i="15"/>
  <c r="GC88" i="15"/>
  <c r="GC89" i="15"/>
  <c r="GC90" i="15"/>
  <c r="GC91" i="15"/>
  <c r="GC92" i="15"/>
  <c r="FY6" i="15"/>
  <c r="FY7" i="15"/>
  <c r="FY8" i="15"/>
  <c r="FY9" i="15"/>
  <c r="FY10" i="15"/>
  <c r="FY11" i="15"/>
  <c r="FY12" i="15"/>
  <c r="FY13" i="15"/>
  <c r="FY14" i="15"/>
  <c r="FY15" i="15"/>
  <c r="FY16" i="15"/>
  <c r="FY17" i="15"/>
  <c r="FY18" i="15"/>
  <c r="FY19" i="15"/>
  <c r="FY20" i="15"/>
  <c r="FY21" i="15"/>
  <c r="FY22" i="15"/>
  <c r="FY23" i="15"/>
  <c r="FY24" i="15"/>
  <c r="FY25" i="15"/>
  <c r="FY26" i="15"/>
  <c r="FY27" i="15"/>
  <c r="FY28" i="15"/>
  <c r="FY29" i="15"/>
  <c r="FY30" i="15"/>
  <c r="FY31" i="15"/>
  <c r="FY32" i="15"/>
  <c r="FY33" i="15"/>
  <c r="FY34" i="15"/>
  <c r="FY35" i="15"/>
  <c r="FY36" i="15"/>
  <c r="FY37" i="15"/>
  <c r="FY38" i="15"/>
  <c r="FY39" i="15"/>
  <c r="FY40" i="15"/>
  <c r="FY41" i="15"/>
  <c r="FY42" i="15"/>
  <c r="FY43" i="15"/>
  <c r="FY44" i="15"/>
  <c r="FY45" i="15"/>
  <c r="FY46" i="15"/>
  <c r="FY47" i="15"/>
  <c r="FY48" i="15"/>
  <c r="FY49" i="15"/>
  <c r="FY50" i="15"/>
  <c r="FY51" i="15"/>
  <c r="FY52" i="15"/>
  <c r="FY53" i="15"/>
  <c r="FY54" i="15"/>
  <c r="FY55" i="15"/>
  <c r="FY56" i="15"/>
  <c r="FY57" i="15"/>
  <c r="FY59" i="15"/>
  <c r="FY96" i="15"/>
  <c r="FY97" i="15"/>
  <c r="FY60" i="15"/>
  <c r="FY61" i="15"/>
  <c r="FY62" i="15"/>
  <c r="FY63" i="15"/>
  <c r="FY64" i="15"/>
  <c r="FY65" i="15"/>
  <c r="FY66" i="15"/>
  <c r="FY67" i="15"/>
  <c r="FY68" i="15"/>
  <c r="FY98" i="15"/>
  <c r="FY81" i="15"/>
  <c r="FY69" i="15"/>
  <c r="FY77" i="15"/>
  <c r="FY78" i="15"/>
  <c r="FY99" i="15"/>
  <c r="FY79" i="15"/>
  <c r="FY80" i="15"/>
  <c r="FY71" i="15"/>
  <c r="FY72" i="15"/>
  <c r="FY73" i="15"/>
  <c r="FY74" i="15"/>
  <c r="FY75" i="15"/>
  <c r="FY76" i="15"/>
  <c r="FY82" i="15"/>
  <c r="FY83" i="15"/>
  <c r="FY84" i="15"/>
  <c r="FY85" i="15"/>
  <c r="FY86" i="15"/>
  <c r="FY87" i="15"/>
  <c r="FY88" i="15"/>
  <c r="FY89" i="15"/>
  <c r="FY90" i="15"/>
  <c r="FY91" i="15"/>
  <c r="FY92" i="15"/>
  <c r="FU6" i="15"/>
  <c r="FU7" i="15"/>
  <c r="FU8" i="15"/>
  <c r="FU9" i="15"/>
  <c r="FU10" i="15"/>
  <c r="FU11" i="15"/>
  <c r="FU12" i="15"/>
  <c r="FU13" i="15"/>
  <c r="FU14" i="15"/>
  <c r="FU15" i="15"/>
  <c r="FU16" i="15"/>
  <c r="FU17" i="15"/>
  <c r="FU18" i="15"/>
  <c r="FU19" i="15"/>
  <c r="FU20" i="15"/>
  <c r="FU21" i="15"/>
  <c r="FU22" i="15"/>
  <c r="FU23" i="15"/>
  <c r="FU24" i="15"/>
  <c r="FU25" i="15"/>
  <c r="FU26" i="15"/>
  <c r="FU27" i="15"/>
  <c r="FU28" i="15"/>
  <c r="FU29" i="15"/>
  <c r="FU30" i="15"/>
  <c r="FU31" i="15"/>
  <c r="FU32" i="15"/>
  <c r="FU33" i="15"/>
  <c r="FU34" i="15"/>
  <c r="FU35" i="15"/>
  <c r="FU36" i="15"/>
  <c r="FU37" i="15"/>
  <c r="FU38" i="15"/>
  <c r="FU39" i="15"/>
  <c r="FU40" i="15"/>
  <c r="FU41" i="15"/>
  <c r="FU42" i="15"/>
  <c r="FU43" i="15"/>
  <c r="FU44" i="15"/>
  <c r="FU45" i="15"/>
  <c r="FU46" i="15"/>
  <c r="FU47" i="15"/>
  <c r="FU48" i="15"/>
  <c r="FU49" i="15"/>
  <c r="FU50" i="15"/>
  <c r="FU51" i="15"/>
  <c r="FU52" i="15"/>
  <c r="FU53" i="15"/>
  <c r="FU54" i="15"/>
  <c r="FU55" i="15"/>
  <c r="FU56" i="15"/>
  <c r="FU57" i="15"/>
  <c r="FU58" i="15"/>
  <c r="FU59" i="15"/>
  <c r="FU96" i="15"/>
  <c r="FU97" i="15"/>
  <c r="FU60" i="15"/>
  <c r="FU61" i="15"/>
  <c r="FU62" i="15"/>
  <c r="FU63" i="15"/>
  <c r="FU64" i="15"/>
  <c r="FU65" i="15"/>
  <c r="FU66" i="15"/>
  <c r="FU67" i="15"/>
  <c r="FU68" i="15"/>
  <c r="FU98" i="15"/>
  <c r="FU81" i="15"/>
  <c r="FU69" i="15"/>
  <c r="FU77" i="15"/>
  <c r="FU78" i="15"/>
  <c r="FU99" i="15"/>
  <c r="FU79" i="15"/>
  <c r="FU80" i="15"/>
  <c r="FU71" i="15"/>
  <c r="FU72" i="15"/>
  <c r="FU73" i="15"/>
  <c r="FU74" i="15"/>
  <c r="FU75" i="15"/>
  <c r="FU76" i="15"/>
  <c r="FU82" i="15"/>
  <c r="FU83" i="15"/>
  <c r="FU84" i="15"/>
  <c r="FU85" i="15"/>
  <c r="FU86" i="15"/>
  <c r="FU87" i="15"/>
  <c r="FU88" i="15"/>
  <c r="FU89" i="15"/>
  <c r="FU90" i="15"/>
  <c r="FU91" i="15"/>
  <c r="FU92" i="15"/>
  <c r="FQ6" i="15"/>
  <c r="FQ7" i="15"/>
  <c r="FQ8" i="15"/>
  <c r="FQ9" i="15"/>
  <c r="FQ10" i="15"/>
  <c r="FQ11" i="15"/>
  <c r="FQ12" i="15"/>
  <c r="FQ13" i="15"/>
  <c r="FQ14" i="15"/>
  <c r="FQ15" i="15"/>
  <c r="FQ16" i="15"/>
  <c r="FQ17" i="15"/>
  <c r="FQ18" i="15"/>
  <c r="FQ19" i="15"/>
  <c r="FQ20" i="15"/>
  <c r="FQ21" i="15"/>
  <c r="FQ22" i="15"/>
  <c r="FQ23" i="15"/>
  <c r="FQ24" i="15"/>
  <c r="FQ25" i="15"/>
  <c r="FQ26" i="15"/>
  <c r="FQ27" i="15"/>
  <c r="FQ28" i="15"/>
  <c r="FQ29" i="15"/>
  <c r="FQ30" i="15"/>
  <c r="FQ31" i="15"/>
  <c r="FQ32" i="15"/>
  <c r="FQ33" i="15"/>
  <c r="FQ34" i="15"/>
  <c r="FQ35" i="15"/>
  <c r="FQ36" i="15"/>
  <c r="FQ37" i="15"/>
  <c r="FQ38" i="15"/>
  <c r="FQ39" i="15"/>
  <c r="FQ40" i="15"/>
  <c r="FQ41" i="15"/>
  <c r="FQ42" i="15"/>
  <c r="FQ43" i="15"/>
  <c r="FQ44" i="15"/>
  <c r="FQ45" i="15"/>
  <c r="FQ46" i="15"/>
  <c r="FQ47" i="15"/>
  <c r="FQ48" i="15"/>
  <c r="FQ49" i="15"/>
  <c r="FQ50" i="15"/>
  <c r="FQ51" i="15"/>
  <c r="FQ52" i="15"/>
  <c r="FQ53" i="15"/>
  <c r="FQ54" i="15"/>
  <c r="FQ55" i="15"/>
  <c r="FQ56" i="15"/>
  <c r="FQ57" i="15"/>
  <c r="FQ58" i="15"/>
  <c r="FQ59" i="15"/>
  <c r="FQ96" i="15"/>
  <c r="FQ97" i="15"/>
  <c r="FQ60" i="15"/>
  <c r="FQ61" i="15"/>
  <c r="FQ62" i="15"/>
  <c r="FQ63" i="15"/>
  <c r="FQ64" i="15"/>
  <c r="FQ65" i="15"/>
  <c r="FQ66" i="15"/>
  <c r="FQ67" i="15"/>
  <c r="FQ68" i="15"/>
  <c r="FQ98" i="15"/>
  <c r="FQ81" i="15"/>
  <c r="FQ69" i="15"/>
  <c r="FQ77" i="15"/>
  <c r="FQ78" i="15"/>
  <c r="FQ99" i="15"/>
  <c r="FQ79" i="15"/>
  <c r="FQ80" i="15"/>
  <c r="FQ71" i="15"/>
  <c r="FQ72" i="15"/>
  <c r="FQ73" i="15"/>
  <c r="FQ74" i="15"/>
  <c r="FQ75" i="15"/>
  <c r="FQ76" i="15"/>
  <c r="FQ82" i="15"/>
  <c r="FQ83" i="15"/>
  <c r="FQ84" i="15"/>
  <c r="FQ85" i="15"/>
  <c r="FQ86" i="15"/>
  <c r="FQ87" i="15"/>
  <c r="FQ88" i="15"/>
  <c r="FQ89" i="15"/>
  <c r="FQ90" i="15"/>
  <c r="FQ91" i="15"/>
  <c r="FQ92" i="15"/>
  <c r="FM58" i="15"/>
  <c r="FM6" i="15"/>
  <c r="FM7" i="15"/>
  <c r="FM8" i="15"/>
  <c r="FM9" i="15"/>
  <c r="FM10" i="15"/>
  <c r="FM11" i="15"/>
  <c r="FM12" i="15"/>
  <c r="FM13" i="15"/>
  <c r="FM14" i="15"/>
  <c r="FM15" i="15"/>
  <c r="FM16" i="15"/>
  <c r="FM17" i="15"/>
  <c r="FM18" i="15"/>
  <c r="FM19" i="15"/>
  <c r="FM20" i="15"/>
  <c r="FM21" i="15"/>
  <c r="FM22" i="15"/>
  <c r="FM23" i="15"/>
  <c r="FM24" i="15"/>
  <c r="FM25" i="15"/>
  <c r="FM26" i="15"/>
  <c r="FM27" i="15"/>
  <c r="FM28" i="15"/>
  <c r="FM29" i="15"/>
  <c r="FM30" i="15"/>
  <c r="FM31" i="15"/>
  <c r="FM32" i="15"/>
  <c r="FM33" i="15"/>
  <c r="FM34" i="15"/>
  <c r="FM35" i="15"/>
  <c r="FM36" i="15"/>
  <c r="FM37" i="15"/>
  <c r="FM38" i="15"/>
  <c r="FM39" i="15"/>
  <c r="FM40" i="15"/>
  <c r="FM41" i="15"/>
  <c r="FM42" i="15"/>
  <c r="FM43" i="15"/>
  <c r="FM44" i="15"/>
  <c r="FM45" i="15"/>
  <c r="FM46" i="15"/>
  <c r="FM47" i="15"/>
  <c r="FM48" i="15"/>
  <c r="FM49" i="15"/>
  <c r="FM50" i="15"/>
  <c r="FM51" i="15"/>
  <c r="FM52" i="15"/>
  <c r="FM53" i="15"/>
  <c r="FM54" i="15"/>
  <c r="FM55" i="15"/>
  <c r="FM56" i="15"/>
  <c r="FM57" i="15"/>
  <c r="FM59" i="15"/>
  <c r="FM96" i="15"/>
  <c r="FM97" i="15"/>
  <c r="FM60" i="15"/>
  <c r="FM61" i="15"/>
  <c r="FM62" i="15"/>
  <c r="FM63" i="15"/>
  <c r="FM64" i="15"/>
  <c r="FM65" i="15"/>
  <c r="FM66" i="15"/>
  <c r="FM67" i="15"/>
  <c r="FM68" i="15"/>
  <c r="FM98" i="15"/>
  <c r="FM81" i="15"/>
  <c r="FM69" i="15"/>
  <c r="FM77" i="15"/>
  <c r="FM78" i="15"/>
  <c r="FM99" i="15"/>
  <c r="FM79" i="15"/>
  <c r="FM80" i="15"/>
  <c r="FM71" i="15"/>
  <c r="FM72" i="15"/>
  <c r="FM73" i="15"/>
  <c r="FM74" i="15"/>
  <c r="FM75" i="15"/>
  <c r="FM76" i="15"/>
  <c r="FM82" i="15"/>
  <c r="FM83" i="15"/>
  <c r="FM84" i="15"/>
  <c r="FM85" i="15"/>
  <c r="FM86" i="15"/>
  <c r="FM87" i="15"/>
  <c r="FM88" i="15"/>
  <c r="FM89" i="15"/>
  <c r="FM90" i="15"/>
  <c r="FM91" i="15"/>
  <c r="FM92" i="15"/>
  <c r="FF6" i="15"/>
  <c r="FH6" i="15" s="1"/>
  <c r="FF7" i="15"/>
  <c r="FH7" i="15" s="1"/>
  <c r="FF8" i="15"/>
  <c r="FH8" i="15" s="1"/>
  <c r="FF9" i="15"/>
  <c r="FH9" i="15" s="1"/>
  <c r="FF10" i="15"/>
  <c r="FH10" i="15" s="1"/>
  <c r="FF11" i="15"/>
  <c r="FH11" i="15" s="1"/>
  <c r="FF12" i="15"/>
  <c r="FH12" i="15" s="1"/>
  <c r="FF13" i="15"/>
  <c r="FH13" i="15" s="1"/>
  <c r="FF14" i="15"/>
  <c r="FH14" i="15" s="1"/>
  <c r="FF15" i="15"/>
  <c r="FH15" i="15" s="1"/>
  <c r="FF16" i="15"/>
  <c r="FH16" i="15" s="1"/>
  <c r="FF19" i="15"/>
  <c r="FH19" i="15" s="1"/>
  <c r="FF20" i="15"/>
  <c r="FH20" i="15" s="1"/>
  <c r="FF21" i="15"/>
  <c r="FH21" i="15" s="1"/>
  <c r="FF22" i="15"/>
  <c r="FH22" i="15" s="1"/>
  <c r="FF23" i="15"/>
  <c r="FH23" i="15" s="1"/>
  <c r="FF24" i="15"/>
  <c r="FH24" i="15" s="1"/>
  <c r="FF25" i="15"/>
  <c r="FH25" i="15" s="1"/>
  <c r="FF26" i="15"/>
  <c r="FH26" i="15" s="1"/>
  <c r="FF27" i="15"/>
  <c r="FH27" i="15" s="1"/>
  <c r="FF28" i="15"/>
  <c r="FH28" i="15" s="1"/>
  <c r="FF29" i="15"/>
  <c r="FH29" i="15" s="1"/>
  <c r="FF30" i="15"/>
  <c r="FH30" i="15" s="1"/>
  <c r="FF31" i="15"/>
  <c r="FH31" i="15" s="1"/>
  <c r="FF32" i="15"/>
  <c r="FH32" i="15" s="1"/>
  <c r="FF33" i="15"/>
  <c r="FH33" i="15" s="1"/>
  <c r="FF34" i="15"/>
  <c r="FH34" i="15" s="1"/>
  <c r="FF35" i="15"/>
  <c r="FH35" i="15" s="1"/>
  <c r="FF36" i="15"/>
  <c r="FH36" i="15" s="1"/>
  <c r="FF37" i="15"/>
  <c r="FH37" i="15" s="1"/>
  <c r="FF38" i="15"/>
  <c r="FH38" i="15" s="1"/>
  <c r="FF39" i="15"/>
  <c r="FH39" i="15" s="1"/>
  <c r="FF40" i="15"/>
  <c r="FH40" i="15" s="1"/>
  <c r="FF41" i="15"/>
  <c r="FH41" i="15" s="1"/>
  <c r="FF42" i="15"/>
  <c r="FH42" i="15" s="1"/>
  <c r="FF43" i="15"/>
  <c r="FH43" i="15" s="1"/>
  <c r="FF44" i="15"/>
  <c r="FH44" i="15" s="1"/>
  <c r="FF45" i="15"/>
  <c r="FH45" i="15" s="1"/>
  <c r="FF46" i="15"/>
  <c r="FH46" i="15" s="1"/>
  <c r="FF47" i="15"/>
  <c r="FH47" i="15" s="1"/>
  <c r="FF48" i="15"/>
  <c r="FH48" i="15" s="1"/>
  <c r="FF49" i="15"/>
  <c r="FH49" i="15" s="1"/>
  <c r="FF50" i="15"/>
  <c r="FH50" i="15" s="1"/>
  <c r="FF51" i="15"/>
  <c r="FH51" i="15" s="1"/>
  <c r="FF52" i="15"/>
  <c r="FH52" i="15" s="1"/>
  <c r="FF53" i="15"/>
  <c r="FH53" i="15" s="1"/>
  <c r="FF54" i="15"/>
  <c r="FH54" i="15" s="1"/>
  <c r="FF55" i="15"/>
  <c r="FH55" i="15" s="1"/>
  <c r="FF56" i="15"/>
  <c r="FH56" i="15" s="1"/>
  <c r="FF57" i="15"/>
  <c r="FH57" i="15" s="1"/>
  <c r="FF58" i="15"/>
  <c r="FH58" i="15" s="1"/>
  <c r="FF59" i="15"/>
  <c r="FH59" i="15" s="1"/>
  <c r="FF96" i="15"/>
  <c r="FH96" i="15" s="1"/>
  <c r="FF97" i="15"/>
  <c r="FH97" i="15" s="1"/>
  <c r="FF60" i="15"/>
  <c r="FH60" i="15" s="1"/>
  <c r="FF61" i="15"/>
  <c r="FH61" i="15" s="1"/>
  <c r="FF62" i="15"/>
  <c r="FH62" i="15" s="1"/>
  <c r="FF63" i="15"/>
  <c r="FH63" i="15" s="1"/>
  <c r="FF64" i="15"/>
  <c r="FH64" i="15" s="1"/>
  <c r="FF65" i="15"/>
  <c r="FH65" i="15" s="1"/>
  <c r="FF66" i="15"/>
  <c r="FH66" i="15" s="1"/>
  <c r="FF67" i="15"/>
  <c r="FH67" i="15" s="1"/>
  <c r="FF68" i="15"/>
  <c r="FH68" i="15" s="1"/>
  <c r="FF98" i="15"/>
  <c r="FH98" i="15" s="1"/>
  <c r="FF81" i="15"/>
  <c r="FH81" i="15" s="1"/>
  <c r="FF69" i="15"/>
  <c r="FH69" i="15" s="1"/>
  <c r="FF77" i="15"/>
  <c r="FH77" i="15" s="1"/>
  <c r="FF78" i="15"/>
  <c r="FH78" i="15" s="1"/>
  <c r="FF99" i="15"/>
  <c r="FH99" i="15" s="1"/>
  <c r="FF79" i="15"/>
  <c r="FH79" i="15" s="1"/>
  <c r="FF80" i="15"/>
  <c r="FH80" i="15" s="1"/>
  <c r="FF71" i="15"/>
  <c r="FH71" i="15" s="1"/>
  <c r="FF72" i="15"/>
  <c r="FH72" i="15" s="1"/>
  <c r="FF73" i="15"/>
  <c r="FH73" i="15" s="1"/>
  <c r="FF74" i="15"/>
  <c r="FH74" i="15" s="1"/>
  <c r="FF75" i="15"/>
  <c r="FH75" i="15" s="1"/>
  <c r="FF76" i="15"/>
  <c r="FH76" i="15" s="1"/>
  <c r="FF82" i="15"/>
  <c r="FH82" i="15" s="1"/>
  <c r="FF83" i="15"/>
  <c r="FH83" i="15" s="1"/>
  <c r="FF84" i="15"/>
  <c r="FH84" i="15" s="1"/>
  <c r="FF85" i="15"/>
  <c r="FH85" i="15" s="1"/>
  <c r="FF86" i="15"/>
  <c r="FH86" i="15" s="1"/>
  <c r="FF87" i="15"/>
  <c r="FH87" i="15" s="1"/>
  <c r="FF88" i="15"/>
  <c r="FH88" i="15" s="1"/>
  <c r="FF89" i="15"/>
  <c r="FH89" i="15" s="1"/>
  <c r="FF95" i="15"/>
  <c r="FH95" i="15" s="1"/>
  <c r="FF90" i="15"/>
  <c r="FH90" i="15" s="1"/>
  <c r="FF91" i="15"/>
  <c r="FH91" i="15" s="1"/>
  <c r="FF92" i="15"/>
  <c r="FH92" i="15" s="1"/>
  <c r="FD6" i="15"/>
  <c r="FD7" i="15"/>
  <c r="FD8" i="15"/>
  <c r="FD9" i="15"/>
  <c r="FD10" i="15"/>
  <c r="FD11" i="15"/>
  <c r="FD12" i="15"/>
  <c r="FD13" i="15"/>
  <c r="FD14" i="15"/>
  <c r="FD15" i="15"/>
  <c r="FD16" i="15"/>
  <c r="FD17" i="15"/>
  <c r="FD18" i="15"/>
  <c r="FD19" i="15"/>
  <c r="FD20" i="15"/>
  <c r="FD21" i="15"/>
  <c r="FD22" i="15"/>
  <c r="FD23" i="15"/>
  <c r="FD24" i="15"/>
  <c r="FD25" i="15"/>
  <c r="FD26" i="15"/>
  <c r="FD27" i="15"/>
  <c r="FD28" i="15"/>
  <c r="FD29" i="15"/>
  <c r="FD30" i="15"/>
  <c r="FD31" i="15"/>
  <c r="FD32" i="15"/>
  <c r="FD33" i="15"/>
  <c r="FD34" i="15"/>
  <c r="FD35" i="15"/>
  <c r="FD36" i="15"/>
  <c r="FD37" i="15"/>
  <c r="FD38" i="15"/>
  <c r="FD39" i="15"/>
  <c r="FD40" i="15"/>
  <c r="FD41" i="15"/>
  <c r="FD42" i="15"/>
  <c r="FD43" i="15"/>
  <c r="FD44" i="15"/>
  <c r="FD45" i="15"/>
  <c r="FD46" i="15"/>
  <c r="FD47" i="15"/>
  <c r="FD48" i="15"/>
  <c r="FD49" i="15"/>
  <c r="FD50" i="15"/>
  <c r="FD51" i="15"/>
  <c r="FD52" i="15"/>
  <c r="FD53" i="15"/>
  <c r="FD54" i="15"/>
  <c r="FD55" i="15"/>
  <c r="FD56" i="15"/>
  <c r="FD57" i="15"/>
  <c r="FD58" i="15"/>
  <c r="FD59" i="15"/>
  <c r="FD96" i="15"/>
  <c r="FD97" i="15"/>
  <c r="FD60" i="15"/>
  <c r="FD61" i="15"/>
  <c r="FD62" i="15"/>
  <c r="FD63" i="15"/>
  <c r="FD64" i="15"/>
  <c r="FD65" i="15"/>
  <c r="FD66" i="15"/>
  <c r="FD67" i="15"/>
  <c r="FD68" i="15"/>
  <c r="FD98" i="15"/>
  <c r="FD81" i="15"/>
  <c r="FD69" i="15"/>
  <c r="FD77" i="15"/>
  <c r="FD78" i="15"/>
  <c r="FD99" i="15"/>
  <c r="FD79" i="15"/>
  <c r="FD80" i="15"/>
  <c r="FD71" i="15"/>
  <c r="FD72" i="15"/>
  <c r="FD73" i="15"/>
  <c r="FD74" i="15"/>
  <c r="FD75" i="15"/>
  <c r="FD76" i="15"/>
  <c r="FD82" i="15"/>
  <c r="FD83" i="15"/>
  <c r="FD84" i="15"/>
  <c r="FD85" i="15"/>
  <c r="FD86" i="15"/>
  <c r="FD87" i="15"/>
  <c r="FD88" i="15"/>
  <c r="FD89" i="15"/>
  <c r="FD95" i="15"/>
  <c r="FD90" i="15"/>
  <c r="FD91" i="15"/>
  <c r="FD92" i="15"/>
  <c r="EZ64" i="15"/>
  <c r="EZ65" i="15"/>
  <c r="EZ66" i="15"/>
  <c r="EZ67" i="15"/>
  <c r="EZ68" i="15"/>
  <c r="EZ98" i="15"/>
  <c r="EZ81" i="15"/>
  <c r="EZ69" i="15"/>
  <c r="EZ77" i="15"/>
  <c r="EZ78" i="15"/>
  <c r="EZ99" i="15"/>
  <c r="EZ79" i="15"/>
  <c r="EZ80" i="15"/>
  <c r="EZ71" i="15"/>
  <c r="EZ72" i="15"/>
  <c r="EZ73" i="15"/>
  <c r="EZ74" i="15"/>
  <c r="EZ75" i="15"/>
  <c r="EZ76" i="15"/>
  <c r="EZ82" i="15"/>
  <c r="EZ83" i="15"/>
  <c r="EZ84" i="15"/>
  <c r="EZ85" i="15"/>
  <c r="EZ86" i="15"/>
  <c r="EZ87" i="15"/>
  <c r="EZ88" i="15"/>
  <c r="EZ89" i="15"/>
  <c r="EZ95" i="15"/>
  <c r="EZ90" i="15"/>
  <c r="EZ91" i="15"/>
  <c r="EZ92" i="15"/>
  <c r="EZ6" i="15"/>
  <c r="EZ7" i="15"/>
  <c r="EZ8" i="15"/>
  <c r="EZ9" i="15"/>
  <c r="EZ10" i="15"/>
  <c r="EZ11" i="15"/>
  <c r="EZ12" i="15"/>
  <c r="EZ13" i="15"/>
  <c r="EZ14" i="15"/>
  <c r="EZ15" i="15"/>
  <c r="EZ16" i="15"/>
  <c r="EZ17" i="15"/>
  <c r="EZ18" i="15"/>
  <c r="EZ19" i="15"/>
  <c r="EZ20" i="15"/>
  <c r="EZ21" i="15"/>
  <c r="EZ22" i="15"/>
  <c r="EZ23" i="15"/>
  <c r="EZ24" i="15"/>
  <c r="EZ25" i="15"/>
  <c r="EZ26" i="15"/>
  <c r="EZ27" i="15"/>
  <c r="EZ28" i="15"/>
  <c r="EZ29" i="15"/>
  <c r="EZ30" i="15"/>
  <c r="EZ31" i="15"/>
  <c r="EZ32" i="15"/>
  <c r="EZ33" i="15"/>
  <c r="EZ34" i="15"/>
  <c r="EZ35" i="15"/>
  <c r="EZ36" i="15"/>
  <c r="EZ37" i="15"/>
  <c r="EZ38" i="15"/>
  <c r="EZ39" i="15"/>
  <c r="EZ40" i="15"/>
  <c r="EZ41" i="15"/>
  <c r="EZ42" i="15"/>
  <c r="EZ43" i="15"/>
  <c r="EZ44" i="15"/>
  <c r="EZ45" i="15"/>
  <c r="EZ46" i="15"/>
  <c r="EZ47" i="15"/>
  <c r="EZ48" i="15"/>
  <c r="EZ49" i="15"/>
  <c r="EZ50" i="15"/>
  <c r="EZ51" i="15"/>
  <c r="EZ52" i="15"/>
  <c r="EZ53" i="15"/>
  <c r="EZ54" i="15"/>
  <c r="EZ55" i="15"/>
  <c r="EZ56" i="15"/>
  <c r="EZ57" i="15"/>
  <c r="EZ58" i="15"/>
  <c r="EZ59" i="15"/>
  <c r="EZ96" i="15"/>
  <c r="EZ97" i="15"/>
  <c r="EZ60" i="15"/>
  <c r="EZ61" i="15"/>
  <c r="EZ62" i="15"/>
  <c r="EZ63" i="15"/>
  <c r="EV6" i="15"/>
  <c r="EV7" i="15"/>
  <c r="EV8" i="15"/>
  <c r="EV9" i="15"/>
  <c r="EV10" i="15"/>
  <c r="EV11" i="15"/>
  <c r="EV12" i="15"/>
  <c r="EV13" i="15"/>
  <c r="EV14" i="15"/>
  <c r="EV15" i="15"/>
  <c r="EV16" i="15"/>
  <c r="EV17" i="15"/>
  <c r="EV18" i="15"/>
  <c r="EV19" i="15"/>
  <c r="EV20" i="15"/>
  <c r="EV21" i="15"/>
  <c r="EV22" i="15"/>
  <c r="EV23" i="15"/>
  <c r="EV24" i="15"/>
  <c r="EV25" i="15"/>
  <c r="EV26" i="15"/>
  <c r="EV27" i="15"/>
  <c r="EV28" i="15"/>
  <c r="EV29" i="15"/>
  <c r="EV30" i="15"/>
  <c r="EV31" i="15"/>
  <c r="EV32" i="15"/>
  <c r="EV33" i="15"/>
  <c r="EV34" i="15"/>
  <c r="EV35" i="15"/>
  <c r="EV36" i="15"/>
  <c r="EV37" i="15"/>
  <c r="EV38" i="15"/>
  <c r="EV39" i="15"/>
  <c r="EV40" i="15"/>
  <c r="EV41" i="15"/>
  <c r="EV42" i="15"/>
  <c r="EV43" i="15"/>
  <c r="EV44" i="15"/>
  <c r="EV45" i="15"/>
  <c r="EV46" i="15"/>
  <c r="EV47" i="15"/>
  <c r="EV48" i="15"/>
  <c r="EV49" i="15"/>
  <c r="EV50" i="15"/>
  <c r="EV51" i="15"/>
  <c r="EV52" i="15"/>
  <c r="EV53" i="15"/>
  <c r="EV54" i="15"/>
  <c r="EV55" i="15"/>
  <c r="EV56" i="15"/>
  <c r="EV57" i="15"/>
  <c r="EV58" i="15"/>
  <c r="EV59" i="15"/>
  <c r="EV96" i="15"/>
  <c r="EV97" i="15"/>
  <c r="EV60" i="15"/>
  <c r="EV61" i="15"/>
  <c r="EV62" i="15"/>
  <c r="EV63" i="15"/>
  <c r="EV64" i="15"/>
  <c r="EV65" i="15"/>
  <c r="EV66" i="15"/>
  <c r="EV67" i="15"/>
  <c r="EV68" i="15"/>
  <c r="EV98" i="15"/>
  <c r="EV81" i="15"/>
  <c r="EV69" i="15"/>
  <c r="EV77" i="15"/>
  <c r="EV78" i="15"/>
  <c r="EV99" i="15"/>
  <c r="EV79" i="15"/>
  <c r="EV80" i="15"/>
  <c r="EV71" i="15"/>
  <c r="EV72" i="15"/>
  <c r="EV73" i="15"/>
  <c r="EV74" i="15"/>
  <c r="EV75" i="15"/>
  <c r="EV76" i="15"/>
  <c r="EV82" i="15"/>
  <c r="EV83" i="15"/>
  <c r="EV84" i="15"/>
  <c r="EV85" i="15"/>
  <c r="EV86" i="15"/>
  <c r="EV87" i="15"/>
  <c r="EV88" i="15"/>
  <c r="EV89" i="15"/>
  <c r="EV95" i="15"/>
  <c r="EV90" i="15"/>
  <c r="EV91" i="15"/>
  <c r="EV92" i="15"/>
  <c r="EP6" i="15"/>
  <c r="ER6" i="15" s="1"/>
  <c r="EP7" i="15"/>
  <c r="ER7" i="15" s="1"/>
  <c r="EP8" i="15"/>
  <c r="ER8" i="15" s="1"/>
  <c r="EP9" i="15"/>
  <c r="ER9" i="15" s="1"/>
  <c r="EP10" i="15"/>
  <c r="ER10" i="15" s="1"/>
  <c r="EP11" i="15"/>
  <c r="ER11" i="15" s="1"/>
  <c r="EP12" i="15"/>
  <c r="ER12" i="15" s="1"/>
  <c r="EP13" i="15"/>
  <c r="ER13" i="15" s="1"/>
  <c r="EP14" i="15"/>
  <c r="ER14" i="15" s="1"/>
  <c r="EP15" i="15"/>
  <c r="ER15" i="15" s="1"/>
  <c r="EP16" i="15"/>
  <c r="ER16" i="15" s="1"/>
  <c r="EP17" i="15"/>
  <c r="ER17" i="15" s="1"/>
  <c r="EP18" i="15"/>
  <c r="ER18" i="15" s="1"/>
  <c r="EP19" i="15"/>
  <c r="ER19" i="15" s="1"/>
  <c r="EP20" i="15"/>
  <c r="ER20" i="15" s="1"/>
  <c r="EP21" i="15"/>
  <c r="ER21" i="15" s="1"/>
  <c r="EP22" i="15"/>
  <c r="ER22" i="15" s="1"/>
  <c r="EP23" i="15"/>
  <c r="ER23" i="15" s="1"/>
  <c r="EP24" i="15"/>
  <c r="ER24" i="15" s="1"/>
  <c r="EP25" i="15"/>
  <c r="ER25" i="15" s="1"/>
  <c r="EP26" i="15"/>
  <c r="ER26" i="15" s="1"/>
  <c r="EP27" i="15"/>
  <c r="ER27" i="15" s="1"/>
  <c r="EP28" i="15"/>
  <c r="ER28" i="15" s="1"/>
  <c r="EP29" i="15"/>
  <c r="ER29" i="15" s="1"/>
  <c r="EP30" i="15"/>
  <c r="ER30" i="15" s="1"/>
  <c r="EP31" i="15"/>
  <c r="ER31" i="15" s="1"/>
  <c r="EP32" i="15"/>
  <c r="ER32" i="15" s="1"/>
  <c r="EP33" i="15"/>
  <c r="ER33" i="15" s="1"/>
  <c r="EP34" i="15"/>
  <c r="ER34" i="15" s="1"/>
  <c r="EP35" i="15"/>
  <c r="ER35" i="15" s="1"/>
  <c r="EP36" i="15"/>
  <c r="ER36" i="15" s="1"/>
  <c r="EP37" i="15"/>
  <c r="ER37" i="15" s="1"/>
  <c r="EP38" i="15"/>
  <c r="ER38" i="15" s="1"/>
  <c r="EP39" i="15"/>
  <c r="ER39" i="15" s="1"/>
  <c r="EP40" i="15"/>
  <c r="ER40" i="15" s="1"/>
  <c r="EP41" i="15"/>
  <c r="ER41" i="15" s="1"/>
  <c r="EP42" i="15"/>
  <c r="ER42" i="15" s="1"/>
  <c r="EP43" i="15"/>
  <c r="ER43" i="15" s="1"/>
  <c r="EP44" i="15"/>
  <c r="ER44" i="15" s="1"/>
  <c r="EP45" i="15"/>
  <c r="ER45" i="15" s="1"/>
  <c r="EP46" i="15"/>
  <c r="ER46" i="15" s="1"/>
  <c r="EP47" i="15"/>
  <c r="ER47" i="15" s="1"/>
  <c r="EP48" i="15"/>
  <c r="ER48" i="15" s="1"/>
  <c r="EP49" i="15"/>
  <c r="ER49" i="15" s="1"/>
  <c r="EP50" i="15"/>
  <c r="ER50" i="15" s="1"/>
  <c r="EP51" i="15"/>
  <c r="ER51" i="15" s="1"/>
  <c r="EP52" i="15"/>
  <c r="ER52" i="15" s="1"/>
  <c r="EP53" i="15"/>
  <c r="ER53" i="15" s="1"/>
  <c r="EP54" i="15"/>
  <c r="ER54" i="15" s="1"/>
  <c r="EP55" i="15"/>
  <c r="ER55" i="15" s="1"/>
  <c r="EP56" i="15"/>
  <c r="ER56" i="15" s="1"/>
  <c r="EP57" i="15"/>
  <c r="ER57" i="15" s="1"/>
  <c r="EP58" i="15"/>
  <c r="ER58" i="15" s="1"/>
  <c r="EP59" i="15"/>
  <c r="ER59" i="15" s="1"/>
  <c r="EP96" i="15"/>
  <c r="ER96" i="15" s="1"/>
  <c r="EP60" i="15"/>
  <c r="ER60" i="15" s="1"/>
  <c r="EP61" i="15"/>
  <c r="ER61" i="15" s="1"/>
  <c r="EP62" i="15"/>
  <c r="ER62" i="15" s="1"/>
  <c r="EP63" i="15"/>
  <c r="ER63" i="15" s="1"/>
  <c r="EP64" i="15"/>
  <c r="ER64" i="15" s="1"/>
  <c r="EP65" i="15"/>
  <c r="ER65" i="15" s="1"/>
  <c r="EP66" i="15"/>
  <c r="ER66" i="15" s="1"/>
  <c r="EP67" i="15"/>
  <c r="ER67" i="15" s="1"/>
  <c r="EP68" i="15"/>
  <c r="ER68" i="15" s="1"/>
  <c r="EP98" i="15"/>
  <c r="ER98" i="15" s="1"/>
  <c r="EP81" i="15"/>
  <c r="ER81" i="15" s="1"/>
  <c r="EP69" i="15"/>
  <c r="ER69" i="15" s="1"/>
  <c r="EP77" i="15"/>
  <c r="ER77" i="15" s="1"/>
  <c r="EP78" i="15"/>
  <c r="ER78" i="15" s="1"/>
  <c r="EP99" i="15"/>
  <c r="ER99" i="15" s="1"/>
  <c r="EP79" i="15"/>
  <c r="ER79" i="15" s="1"/>
  <c r="EP80" i="15"/>
  <c r="ER80" i="15" s="1"/>
  <c r="EP71" i="15"/>
  <c r="ER71" i="15" s="1"/>
  <c r="EP72" i="15"/>
  <c r="ER72" i="15" s="1"/>
  <c r="EP73" i="15"/>
  <c r="ER73" i="15" s="1"/>
  <c r="EP74" i="15"/>
  <c r="ER74" i="15" s="1"/>
  <c r="EP75" i="15"/>
  <c r="ER75" i="15" s="1"/>
  <c r="EP76" i="15"/>
  <c r="ER76" i="15" s="1"/>
  <c r="EP82" i="15"/>
  <c r="ER82" i="15" s="1"/>
  <c r="EP83" i="15"/>
  <c r="ER83" i="15" s="1"/>
  <c r="EP84" i="15"/>
  <c r="ER84" i="15" s="1"/>
  <c r="EP85" i="15"/>
  <c r="ER85" i="15" s="1"/>
  <c r="EP86" i="15"/>
  <c r="ER86" i="15" s="1"/>
  <c r="EP87" i="15"/>
  <c r="ER87" i="15" s="1"/>
  <c r="EP88" i="15"/>
  <c r="ER88" i="15" s="1"/>
  <c r="EP89" i="15"/>
  <c r="ER89" i="15" s="1"/>
  <c r="EP95" i="15"/>
  <c r="ER95" i="15" s="1"/>
  <c r="EP90" i="15"/>
  <c r="ER90" i="15" s="1"/>
  <c r="EP91" i="15"/>
  <c r="ER91" i="15" s="1"/>
  <c r="EP92" i="15"/>
  <c r="ER92" i="15" s="1"/>
  <c r="EN15" i="15"/>
  <c r="EN16" i="15"/>
  <c r="EN17" i="15"/>
  <c r="EN18" i="15"/>
  <c r="EN19" i="15"/>
  <c r="EN20" i="15"/>
  <c r="EN21" i="15"/>
  <c r="EN22" i="15"/>
  <c r="EN23" i="15"/>
  <c r="EN47" i="15"/>
  <c r="EN48" i="15"/>
  <c r="EN49" i="15"/>
  <c r="EH6" i="15"/>
  <c r="EH7" i="15"/>
  <c r="EH8" i="15"/>
  <c r="EH9" i="15"/>
  <c r="EH10" i="15"/>
  <c r="EH11" i="15"/>
  <c r="EH12" i="15"/>
  <c r="EH13" i="15"/>
  <c r="EH14" i="15"/>
  <c r="EH15" i="15"/>
  <c r="EH16" i="15"/>
  <c r="EH17" i="15"/>
  <c r="EH18" i="15"/>
  <c r="EH19" i="15"/>
  <c r="EH20" i="15"/>
  <c r="EH21" i="15"/>
  <c r="EH22" i="15"/>
  <c r="EH23" i="15"/>
  <c r="EH24" i="15"/>
  <c r="EH25" i="15"/>
  <c r="EH26" i="15"/>
  <c r="EH27" i="15"/>
  <c r="EH28" i="15"/>
  <c r="EH29" i="15"/>
  <c r="EH30" i="15"/>
  <c r="EH31" i="15"/>
  <c r="EH32" i="15"/>
  <c r="EH33" i="15"/>
  <c r="EH34" i="15"/>
  <c r="EH35" i="15"/>
  <c r="EH36" i="15"/>
  <c r="EH37" i="15"/>
  <c r="EH38" i="15"/>
  <c r="EH39" i="15"/>
  <c r="EH40" i="15"/>
  <c r="EJ40" i="15" s="1"/>
  <c r="EH41" i="15"/>
  <c r="EJ41" i="15" s="1"/>
  <c r="EH42" i="15"/>
  <c r="EJ42" i="15" s="1"/>
  <c r="EH43" i="15"/>
  <c r="EJ43" i="15" s="1"/>
  <c r="EH44" i="15"/>
  <c r="EJ44" i="15" s="1"/>
  <c r="EH45" i="15"/>
  <c r="EJ45" i="15" s="1"/>
  <c r="EH46" i="15"/>
  <c r="EJ46" i="15" s="1"/>
  <c r="EH47" i="15"/>
  <c r="EJ47" i="15" s="1"/>
  <c r="EH48" i="15"/>
  <c r="EJ48" i="15" s="1"/>
  <c r="EH49" i="15"/>
  <c r="EJ49" i="15" s="1"/>
  <c r="EH50" i="15"/>
  <c r="EJ50" i="15" s="1"/>
  <c r="EH51" i="15"/>
  <c r="EJ51" i="15" s="1"/>
  <c r="EH52" i="15"/>
  <c r="EJ52" i="15" s="1"/>
  <c r="EH53" i="15"/>
  <c r="EJ53" i="15" s="1"/>
  <c r="EH54" i="15"/>
  <c r="EJ54" i="15" s="1"/>
  <c r="EH55" i="15"/>
  <c r="EJ55" i="15" s="1"/>
  <c r="EH56" i="15"/>
  <c r="EJ56" i="15" s="1"/>
  <c r="EH57" i="15"/>
  <c r="EJ57" i="15" s="1"/>
  <c r="EH58" i="15"/>
  <c r="EJ58" i="15" s="1"/>
  <c r="EH59" i="15"/>
  <c r="EJ59" i="15" s="1"/>
  <c r="EH96" i="15"/>
  <c r="EJ96" i="15" s="1"/>
  <c r="EH97" i="15"/>
  <c r="EJ97" i="15" s="1"/>
  <c r="EH60" i="15"/>
  <c r="EJ60" i="15" s="1"/>
  <c r="EH61" i="15"/>
  <c r="EJ61" i="15" s="1"/>
  <c r="EH62" i="15"/>
  <c r="EJ62" i="15" s="1"/>
  <c r="EH63" i="15"/>
  <c r="EJ63" i="15" s="1"/>
  <c r="EH64" i="15"/>
  <c r="EJ64" i="15" s="1"/>
  <c r="EH65" i="15"/>
  <c r="EJ65" i="15" s="1"/>
  <c r="EH66" i="15"/>
  <c r="EJ66" i="15" s="1"/>
  <c r="EH67" i="15"/>
  <c r="EJ67" i="15" s="1"/>
  <c r="EH68" i="15"/>
  <c r="EJ68" i="15" s="1"/>
  <c r="EH98" i="15"/>
  <c r="EJ98" i="15" s="1"/>
  <c r="EH81" i="15"/>
  <c r="EJ81" i="15" s="1"/>
  <c r="EH69" i="15"/>
  <c r="EJ69" i="15" s="1"/>
  <c r="EH77" i="15"/>
  <c r="EJ77" i="15" s="1"/>
  <c r="EH78" i="15"/>
  <c r="EJ78" i="15" s="1"/>
  <c r="EH99" i="15"/>
  <c r="EJ99" i="15" s="1"/>
  <c r="EH79" i="15"/>
  <c r="EJ79" i="15" s="1"/>
  <c r="EH80" i="15"/>
  <c r="EJ80" i="15" s="1"/>
  <c r="EH71" i="15"/>
  <c r="EJ71" i="15" s="1"/>
  <c r="EH72" i="15"/>
  <c r="EJ72" i="15" s="1"/>
  <c r="EH73" i="15"/>
  <c r="EJ73" i="15" s="1"/>
  <c r="EH74" i="15"/>
  <c r="EJ74" i="15" s="1"/>
  <c r="EH75" i="15"/>
  <c r="EJ75" i="15" s="1"/>
  <c r="EH76" i="15"/>
  <c r="EJ76" i="15" s="1"/>
  <c r="EH82" i="15"/>
  <c r="EJ82" i="15" s="1"/>
  <c r="EH83" i="15"/>
  <c r="EJ83" i="15" s="1"/>
  <c r="EH84" i="15"/>
  <c r="EJ84" i="15" s="1"/>
  <c r="EH85" i="15"/>
  <c r="EJ85" i="15" s="1"/>
  <c r="EH86" i="15"/>
  <c r="EJ86" i="15" s="1"/>
  <c r="EH87" i="15"/>
  <c r="EJ87" i="15" s="1"/>
  <c r="EH88" i="15"/>
  <c r="EJ88" i="15" s="1"/>
  <c r="EH89" i="15"/>
  <c r="EJ89" i="15" s="1"/>
  <c r="EH95" i="15"/>
  <c r="EJ95" i="15" s="1"/>
  <c r="EH90" i="15"/>
  <c r="EJ90" i="15" s="1"/>
  <c r="EH91" i="15"/>
  <c r="EJ91" i="15" s="1"/>
  <c r="EH92" i="15"/>
  <c r="EJ92" i="15" s="1"/>
  <c r="ED6" i="15"/>
  <c r="EF6" i="15" s="1"/>
  <c r="ED7" i="15"/>
  <c r="EF7" i="15" s="1"/>
  <c r="ED8" i="15"/>
  <c r="EF8" i="15" s="1"/>
  <c r="ED9" i="15"/>
  <c r="EF9" i="15" s="1"/>
  <c r="ED10" i="15"/>
  <c r="EF10" i="15" s="1"/>
  <c r="ED11" i="15"/>
  <c r="EF11" i="15" s="1"/>
  <c r="ED12" i="15"/>
  <c r="EF12" i="15" s="1"/>
  <c r="ED13" i="15"/>
  <c r="EF13" i="15" s="1"/>
  <c r="ED14" i="15"/>
  <c r="EF14" i="15" s="1"/>
  <c r="ED15" i="15"/>
  <c r="EF15" i="15" s="1"/>
  <c r="ED16" i="15"/>
  <c r="EF16" i="15" s="1"/>
  <c r="ED17" i="15"/>
  <c r="EF17" i="15" s="1"/>
  <c r="ED18" i="15"/>
  <c r="EF18" i="15" s="1"/>
  <c r="ED19" i="15"/>
  <c r="EF19" i="15" s="1"/>
  <c r="ED20" i="15"/>
  <c r="EF20" i="15" s="1"/>
  <c r="ED21" i="15"/>
  <c r="EF21" i="15" s="1"/>
  <c r="ED22" i="15"/>
  <c r="EF22" i="15" s="1"/>
  <c r="ED23" i="15"/>
  <c r="EF23" i="15" s="1"/>
  <c r="ED24" i="15"/>
  <c r="EF24" i="15" s="1"/>
  <c r="ED25" i="15"/>
  <c r="EF25" i="15" s="1"/>
  <c r="ED26" i="15"/>
  <c r="EF26" i="15" s="1"/>
  <c r="ED27" i="15"/>
  <c r="EF27" i="15" s="1"/>
  <c r="ED28" i="15"/>
  <c r="EF28" i="15" s="1"/>
  <c r="ED29" i="15"/>
  <c r="EF29" i="15" s="1"/>
  <c r="ED30" i="15"/>
  <c r="EF30" i="15" s="1"/>
  <c r="ED31" i="15"/>
  <c r="EF31" i="15" s="1"/>
  <c r="ED32" i="15"/>
  <c r="EF32" i="15" s="1"/>
  <c r="ED33" i="15"/>
  <c r="EF33" i="15" s="1"/>
  <c r="ED34" i="15"/>
  <c r="EF34" i="15" s="1"/>
  <c r="ED35" i="15"/>
  <c r="EF35" i="15" s="1"/>
  <c r="ED36" i="15"/>
  <c r="EF36" i="15" s="1"/>
  <c r="ED37" i="15"/>
  <c r="EF37" i="15" s="1"/>
  <c r="ED38" i="15"/>
  <c r="EF38" i="15" s="1"/>
  <c r="ED39" i="15"/>
  <c r="EF39" i="15" s="1"/>
  <c r="ED40" i="15"/>
  <c r="EF40" i="15" s="1"/>
  <c r="ED41" i="15"/>
  <c r="EF41" i="15" s="1"/>
  <c r="ED42" i="15"/>
  <c r="EF42" i="15" s="1"/>
  <c r="ED43" i="15"/>
  <c r="EF43" i="15" s="1"/>
  <c r="ED44" i="15"/>
  <c r="EF44" i="15" s="1"/>
  <c r="ED45" i="15"/>
  <c r="EF45" i="15" s="1"/>
  <c r="ED46" i="15"/>
  <c r="EF46" i="15" s="1"/>
  <c r="ED47" i="15"/>
  <c r="EF47" i="15" s="1"/>
  <c r="ED48" i="15"/>
  <c r="EF48" i="15" s="1"/>
  <c r="ED49" i="15"/>
  <c r="EF49" i="15" s="1"/>
  <c r="ED50" i="15"/>
  <c r="EF50" i="15" s="1"/>
  <c r="ED51" i="15"/>
  <c r="EF51" i="15" s="1"/>
  <c r="ED52" i="15"/>
  <c r="EF52" i="15" s="1"/>
  <c r="ED53" i="15"/>
  <c r="EF53" i="15" s="1"/>
  <c r="ED54" i="15"/>
  <c r="EF54" i="15" s="1"/>
  <c r="ED55" i="15"/>
  <c r="EF55" i="15" s="1"/>
  <c r="ED56" i="15"/>
  <c r="EF56" i="15" s="1"/>
  <c r="ED57" i="15"/>
  <c r="EF57" i="15" s="1"/>
  <c r="ED58" i="15"/>
  <c r="EF58" i="15" s="1"/>
  <c r="ED59" i="15"/>
  <c r="EF59" i="15" s="1"/>
  <c r="ED96" i="15"/>
  <c r="EF96" i="15" s="1"/>
  <c r="ED97" i="15"/>
  <c r="EF97" i="15" s="1"/>
  <c r="ED60" i="15"/>
  <c r="EF60" i="15" s="1"/>
  <c r="ED61" i="15"/>
  <c r="EF61" i="15" s="1"/>
  <c r="ED62" i="15"/>
  <c r="EF62" i="15" s="1"/>
  <c r="ED63" i="15"/>
  <c r="EF63" i="15" s="1"/>
  <c r="ED64" i="15"/>
  <c r="EF64" i="15" s="1"/>
  <c r="ED65" i="15"/>
  <c r="EF65" i="15" s="1"/>
  <c r="ED66" i="15"/>
  <c r="EF66" i="15" s="1"/>
  <c r="ED67" i="15"/>
  <c r="EF67" i="15" s="1"/>
  <c r="ED68" i="15"/>
  <c r="EF68" i="15" s="1"/>
  <c r="ED98" i="15"/>
  <c r="EF98" i="15" s="1"/>
  <c r="ED81" i="15"/>
  <c r="EF81" i="15" s="1"/>
  <c r="ED69" i="15"/>
  <c r="EF69" i="15" s="1"/>
  <c r="ED77" i="15"/>
  <c r="EF77" i="15" s="1"/>
  <c r="ED78" i="15"/>
  <c r="EF78" i="15" s="1"/>
  <c r="ED99" i="15"/>
  <c r="EF99" i="15" s="1"/>
  <c r="ED79" i="15"/>
  <c r="EF79" i="15" s="1"/>
  <c r="ED80" i="15"/>
  <c r="EF80" i="15" s="1"/>
  <c r="ED71" i="15"/>
  <c r="EF71" i="15" s="1"/>
  <c r="ED72" i="15"/>
  <c r="EF72" i="15" s="1"/>
  <c r="ED73" i="15"/>
  <c r="EF73" i="15" s="1"/>
  <c r="ED74" i="15"/>
  <c r="EF74" i="15" s="1"/>
  <c r="ED75" i="15"/>
  <c r="EF75" i="15" s="1"/>
  <c r="ED76" i="15"/>
  <c r="EF76" i="15" s="1"/>
  <c r="ED82" i="15"/>
  <c r="EF82" i="15" s="1"/>
  <c r="ED83" i="15"/>
  <c r="EF83" i="15" s="1"/>
  <c r="ED84" i="15"/>
  <c r="EF84" i="15" s="1"/>
  <c r="ED85" i="15"/>
  <c r="EF85" i="15" s="1"/>
  <c r="ED86" i="15"/>
  <c r="EF86" i="15" s="1"/>
  <c r="ED87" i="15"/>
  <c r="EF87" i="15" s="1"/>
  <c r="ED88" i="15"/>
  <c r="EF88" i="15" s="1"/>
  <c r="ED89" i="15"/>
  <c r="EF89" i="15" s="1"/>
  <c r="ED95" i="15"/>
  <c r="EF95" i="15" s="1"/>
  <c r="ED90" i="15"/>
  <c r="EF90" i="15" s="1"/>
  <c r="ED91" i="15"/>
  <c r="EF91" i="15" s="1"/>
  <c r="ED92" i="15"/>
  <c r="EF92" i="15" s="1"/>
  <c r="DW21" i="15"/>
  <c r="DW22" i="15"/>
  <c r="DW23" i="15"/>
  <c r="DW24" i="15"/>
  <c r="DW25" i="15"/>
  <c r="DW26" i="15"/>
  <c r="DW27" i="15"/>
  <c r="DW28" i="15"/>
  <c r="DW29" i="15"/>
  <c r="DW30" i="15"/>
  <c r="DW31" i="15"/>
  <c r="DW32" i="15"/>
  <c r="DW33" i="15"/>
  <c r="DW34" i="15"/>
  <c r="DW35" i="15"/>
  <c r="DW36" i="15"/>
  <c r="DW37" i="15"/>
  <c r="DW38" i="15"/>
  <c r="DW39" i="15"/>
  <c r="DW40" i="15"/>
  <c r="DW41" i="15"/>
  <c r="DW42" i="15"/>
  <c r="DW43" i="15"/>
  <c r="DW44" i="15"/>
  <c r="DW45" i="15"/>
  <c r="DW46" i="15"/>
  <c r="DW47" i="15"/>
  <c r="DW48" i="15"/>
  <c r="DW49" i="15"/>
  <c r="DW50" i="15"/>
  <c r="DW51" i="15"/>
  <c r="DW52" i="15"/>
  <c r="DW53" i="15"/>
  <c r="DW54" i="15"/>
  <c r="DW55" i="15"/>
  <c r="DW56" i="15"/>
  <c r="DW57" i="15"/>
  <c r="DW58" i="15"/>
  <c r="DW59" i="15"/>
  <c r="DW96" i="15"/>
  <c r="DW97" i="15"/>
  <c r="DW60" i="15"/>
  <c r="DW61" i="15"/>
  <c r="DW62" i="15"/>
  <c r="DW63" i="15"/>
  <c r="DW64" i="15"/>
  <c r="DW65" i="15"/>
  <c r="DW66" i="15"/>
  <c r="DW67" i="15"/>
  <c r="DW68" i="15"/>
  <c r="DW98" i="15"/>
  <c r="DW81" i="15"/>
  <c r="DW69" i="15"/>
  <c r="DW77" i="15"/>
  <c r="DW78" i="15"/>
  <c r="DW99" i="15"/>
  <c r="DW79" i="15"/>
  <c r="DW80" i="15"/>
  <c r="DW71" i="15"/>
  <c r="DW72" i="15"/>
  <c r="DW73" i="15"/>
  <c r="DW74" i="15"/>
  <c r="DW75" i="15"/>
  <c r="DW76" i="15"/>
  <c r="DW82" i="15"/>
  <c r="DW83" i="15"/>
  <c r="DW84" i="15"/>
  <c r="DW85" i="15"/>
  <c r="DW86" i="15"/>
  <c r="DW87" i="15"/>
  <c r="DW88" i="15"/>
  <c r="DZ6" i="15"/>
  <c r="EB6" i="15" s="1"/>
  <c r="DZ7" i="15"/>
  <c r="EB7" i="15" s="1"/>
  <c r="DZ8" i="15"/>
  <c r="EB8" i="15" s="1"/>
  <c r="DZ9" i="15"/>
  <c r="EB9" i="15" s="1"/>
  <c r="DZ10" i="15"/>
  <c r="DZ11" i="15"/>
  <c r="EB11" i="15" s="1"/>
  <c r="DZ12" i="15"/>
  <c r="EB12" i="15" s="1"/>
  <c r="DZ13" i="15"/>
  <c r="EB13" i="15" s="1"/>
  <c r="DZ14" i="15"/>
  <c r="EB14" i="15" s="1"/>
  <c r="DZ15" i="15"/>
  <c r="EB15" i="15" s="1"/>
  <c r="DZ16" i="15"/>
  <c r="EB16" i="15" s="1"/>
  <c r="DZ17" i="15"/>
  <c r="EB17" i="15" s="1"/>
  <c r="DZ18" i="15"/>
  <c r="EB18" i="15" s="1"/>
  <c r="DZ19" i="15"/>
  <c r="EB19" i="15" s="1"/>
  <c r="DZ20" i="15"/>
  <c r="EB20" i="15" s="1"/>
  <c r="DZ21" i="15"/>
  <c r="EB21" i="15" s="1"/>
  <c r="DZ22" i="15"/>
  <c r="EB22" i="15" s="1"/>
  <c r="DZ23" i="15"/>
  <c r="EB23" i="15" s="1"/>
  <c r="DZ24" i="15"/>
  <c r="EB24" i="15" s="1"/>
  <c r="DZ25" i="15"/>
  <c r="EB25" i="15" s="1"/>
  <c r="DZ26" i="15"/>
  <c r="EB26" i="15" s="1"/>
  <c r="DZ27" i="15"/>
  <c r="EB27" i="15" s="1"/>
  <c r="DZ28" i="15"/>
  <c r="EB28" i="15" s="1"/>
  <c r="DZ29" i="15"/>
  <c r="EB29" i="15" s="1"/>
  <c r="DZ30" i="15"/>
  <c r="EB30" i="15" s="1"/>
  <c r="DZ31" i="15"/>
  <c r="EB31" i="15" s="1"/>
  <c r="DZ32" i="15"/>
  <c r="EB32" i="15" s="1"/>
  <c r="DZ33" i="15"/>
  <c r="EB33" i="15" s="1"/>
  <c r="DZ34" i="15"/>
  <c r="EB34" i="15" s="1"/>
  <c r="DZ35" i="15"/>
  <c r="EB35" i="15" s="1"/>
  <c r="DZ36" i="15"/>
  <c r="EB36" i="15" s="1"/>
  <c r="DZ37" i="15"/>
  <c r="EB37" i="15" s="1"/>
  <c r="DZ38" i="15"/>
  <c r="EB38" i="15" s="1"/>
  <c r="DZ39" i="15"/>
  <c r="EB39" i="15" s="1"/>
  <c r="DZ40" i="15"/>
  <c r="EB40" i="15" s="1"/>
  <c r="DZ41" i="15"/>
  <c r="EB41" i="15" s="1"/>
  <c r="DZ42" i="15"/>
  <c r="EB42" i="15" s="1"/>
  <c r="DZ43" i="15"/>
  <c r="EB43" i="15" s="1"/>
  <c r="DZ44" i="15"/>
  <c r="EB44" i="15" s="1"/>
  <c r="DZ45" i="15"/>
  <c r="EB45" i="15" s="1"/>
  <c r="DZ46" i="15"/>
  <c r="EB46" i="15" s="1"/>
  <c r="DZ47" i="15"/>
  <c r="EB47" i="15" s="1"/>
  <c r="DZ48" i="15"/>
  <c r="EB48" i="15" s="1"/>
  <c r="DZ49" i="15"/>
  <c r="EB49" i="15" s="1"/>
  <c r="DZ50" i="15"/>
  <c r="EB50" i="15" s="1"/>
  <c r="DZ51" i="15"/>
  <c r="EB51" i="15" s="1"/>
  <c r="DZ52" i="15"/>
  <c r="EB52" i="15" s="1"/>
  <c r="DZ53" i="15"/>
  <c r="EB53" i="15" s="1"/>
  <c r="DZ54" i="15"/>
  <c r="EB54" i="15" s="1"/>
  <c r="DZ55" i="15"/>
  <c r="EB55" i="15" s="1"/>
  <c r="DZ56" i="15"/>
  <c r="EB56" i="15" s="1"/>
  <c r="DZ57" i="15"/>
  <c r="EB57" i="15" s="1"/>
  <c r="DZ58" i="15"/>
  <c r="EB58" i="15" s="1"/>
  <c r="DZ59" i="15"/>
  <c r="EB59" i="15" s="1"/>
  <c r="DZ96" i="15"/>
  <c r="EB96" i="15" s="1"/>
  <c r="DZ97" i="15"/>
  <c r="EB97" i="15" s="1"/>
  <c r="DZ60" i="15"/>
  <c r="EB60" i="15" s="1"/>
  <c r="DZ61" i="15"/>
  <c r="EB61" i="15" s="1"/>
  <c r="DZ62" i="15"/>
  <c r="EB62" i="15" s="1"/>
  <c r="DZ63" i="15"/>
  <c r="EB63" i="15" s="1"/>
  <c r="DZ64" i="15"/>
  <c r="EB64" i="15" s="1"/>
  <c r="DZ65" i="15"/>
  <c r="EB65" i="15" s="1"/>
  <c r="DZ66" i="15"/>
  <c r="EB66" i="15" s="1"/>
  <c r="DZ67" i="15"/>
  <c r="EB67" i="15" s="1"/>
  <c r="DZ68" i="15"/>
  <c r="EB68" i="15" s="1"/>
  <c r="DZ98" i="15"/>
  <c r="EB98" i="15" s="1"/>
  <c r="DZ81" i="15"/>
  <c r="EB81" i="15" s="1"/>
  <c r="DZ69" i="15"/>
  <c r="EB69" i="15" s="1"/>
  <c r="DZ77" i="15"/>
  <c r="EB77" i="15" s="1"/>
  <c r="DZ78" i="15"/>
  <c r="EB78" i="15" s="1"/>
  <c r="DZ99" i="15"/>
  <c r="EB99" i="15" s="1"/>
  <c r="DZ79" i="15"/>
  <c r="EB79" i="15" s="1"/>
  <c r="DZ80" i="15"/>
  <c r="EB80" i="15" s="1"/>
  <c r="DZ71" i="15"/>
  <c r="EB71" i="15" s="1"/>
  <c r="DZ72" i="15"/>
  <c r="EB72" i="15" s="1"/>
  <c r="DZ73" i="15"/>
  <c r="EB73" i="15" s="1"/>
  <c r="DZ74" i="15"/>
  <c r="EB74" i="15" s="1"/>
  <c r="DZ75" i="15"/>
  <c r="EB75" i="15" s="1"/>
  <c r="DZ76" i="15"/>
  <c r="EB76" i="15" s="1"/>
  <c r="DZ82" i="15"/>
  <c r="EB82" i="15" s="1"/>
  <c r="DZ83" i="15"/>
  <c r="EB83" i="15" s="1"/>
  <c r="DZ84" i="15"/>
  <c r="EB84" i="15" s="1"/>
  <c r="DZ85" i="15"/>
  <c r="EB85" i="15" s="1"/>
  <c r="DZ86" i="15"/>
  <c r="EB86" i="15" s="1"/>
  <c r="DZ87" i="15"/>
  <c r="EB87" i="15" s="1"/>
  <c r="DZ88" i="15"/>
  <c r="EB88" i="15" s="1"/>
  <c r="DZ89" i="15"/>
  <c r="EB89" i="15" s="1"/>
  <c r="DZ95" i="15"/>
  <c r="EB95" i="15" s="1"/>
  <c r="DZ90" i="15"/>
  <c r="EB90" i="15" s="1"/>
  <c r="DZ91" i="15"/>
  <c r="EB91" i="15" s="1"/>
  <c r="DZ92" i="15"/>
  <c r="EB92" i="15" s="1"/>
  <c r="EB10" i="15"/>
  <c r="DV30" i="15"/>
  <c r="DV31" i="15"/>
  <c r="DV32" i="15"/>
  <c r="DV33" i="15"/>
  <c r="DV34" i="15"/>
  <c r="DV35" i="15"/>
  <c r="DV36" i="15"/>
  <c r="DV37" i="15"/>
  <c r="DV38" i="15"/>
  <c r="DV39" i="15"/>
  <c r="DV40" i="15"/>
  <c r="DV41" i="15"/>
  <c r="DV42" i="15"/>
  <c r="DV43" i="15"/>
  <c r="DV44" i="15"/>
  <c r="DV45" i="15"/>
  <c r="DV46" i="15"/>
  <c r="DV47" i="15"/>
  <c r="DV48" i="15"/>
  <c r="DV49" i="15"/>
  <c r="DV50" i="15"/>
  <c r="DV51" i="15"/>
  <c r="DV52" i="15"/>
  <c r="DV53" i="15"/>
  <c r="DV54" i="15"/>
  <c r="DV55" i="15"/>
  <c r="DV56" i="15"/>
  <c r="DV57" i="15"/>
  <c r="DV58" i="15"/>
  <c r="DV59" i="15"/>
  <c r="DV96" i="15"/>
  <c r="DV60" i="15"/>
  <c r="DV61" i="15"/>
  <c r="DV62" i="15"/>
  <c r="DV63" i="15"/>
  <c r="DV64" i="15"/>
  <c r="DV65" i="15"/>
  <c r="DV66" i="15"/>
  <c r="DV67" i="15"/>
  <c r="DV68" i="15"/>
  <c r="DV98" i="15"/>
  <c r="DV81" i="15"/>
  <c r="DV69" i="15"/>
  <c r="DV77" i="15"/>
  <c r="DV78" i="15"/>
  <c r="DV99" i="15"/>
  <c r="DV79" i="15"/>
  <c r="DV80" i="15"/>
  <c r="DV71" i="15"/>
  <c r="DV72" i="15"/>
  <c r="DV73" i="15"/>
  <c r="DV74" i="15"/>
  <c r="DV75" i="15"/>
  <c r="DV76" i="15"/>
  <c r="DV82" i="15"/>
  <c r="DV83" i="15"/>
  <c r="DV84" i="15"/>
  <c r="DV85" i="15"/>
  <c r="DV86" i="15"/>
  <c r="DV87" i="15"/>
  <c r="DV88" i="15"/>
  <c r="DV89" i="15"/>
  <c r="DS34" i="15"/>
  <c r="DS35" i="15"/>
  <c r="DS36" i="15"/>
  <c r="DS37" i="15"/>
  <c r="DS38" i="15"/>
  <c r="DS39" i="15"/>
  <c r="DS40" i="15"/>
  <c r="DS41" i="15"/>
  <c r="DS42" i="15"/>
  <c r="BI67" i="15"/>
  <c r="BI68" i="15"/>
  <c r="BI81" i="15"/>
  <c r="BI99" i="15"/>
  <c r="BI71" i="15"/>
  <c r="BI72" i="15"/>
  <c r="BI73" i="15"/>
  <c r="BI74" i="15"/>
  <c r="BI76" i="15"/>
  <c r="BI82" i="15"/>
  <c r="BI83" i="15"/>
  <c r="BI84" i="15"/>
  <c r="BI85" i="15"/>
  <c r="BI86" i="15"/>
  <c r="BI87" i="15"/>
  <c r="BI89" i="15"/>
  <c r="BI95" i="15"/>
  <c r="BI90" i="15"/>
  <c r="BI91" i="15"/>
  <c r="CL6" i="15"/>
  <c r="CL7" i="15"/>
  <c r="CL8" i="15"/>
  <c r="CL9" i="15"/>
  <c r="CL10" i="15"/>
  <c r="CL11" i="15"/>
  <c r="CL12" i="15"/>
  <c r="CL13" i="15"/>
  <c r="CL14" i="15"/>
  <c r="CL15" i="15"/>
  <c r="CL16" i="15"/>
  <c r="CL17" i="15"/>
  <c r="CL18" i="15"/>
  <c r="CL19" i="15"/>
  <c r="CL20" i="15"/>
  <c r="CL21" i="15"/>
  <c r="CL22" i="15"/>
  <c r="CL23" i="15"/>
  <c r="CL24" i="15"/>
  <c r="CL25" i="15"/>
  <c r="CL26" i="15"/>
  <c r="CL27" i="15"/>
  <c r="CL28" i="15"/>
  <c r="CL29" i="15"/>
  <c r="CL30" i="15"/>
  <c r="CL31" i="15"/>
  <c r="CL32" i="15"/>
  <c r="CL33" i="15"/>
  <c r="CL34" i="15"/>
  <c r="CL35" i="15"/>
  <c r="CL36" i="15"/>
  <c r="CL37" i="15"/>
  <c r="CL38" i="15"/>
  <c r="CL39" i="15"/>
  <c r="CL40" i="15"/>
  <c r="CL41" i="15"/>
  <c r="CL42" i="15"/>
  <c r="CL43" i="15"/>
  <c r="CM43" i="15" s="1"/>
  <c r="CL44" i="15"/>
  <c r="CL45" i="15"/>
  <c r="CL46" i="15"/>
  <c r="CL47" i="15"/>
  <c r="CL48" i="15"/>
  <c r="CL49" i="15"/>
  <c r="CL50" i="15"/>
  <c r="CL51" i="15"/>
  <c r="CL52" i="15"/>
  <c r="CL53" i="15"/>
  <c r="CL54" i="15"/>
  <c r="CL55" i="15"/>
  <c r="CL56" i="15"/>
  <c r="CL57" i="15"/>
  <c r="CL58" i="15"/>
  <c r="CL59" i="15"/>
  <c r="CL96" i="15"/>
  <c r="CL97" i="15"/>
  <c r="CL60" i="15"/>
  <c r="CL61" i="15"/>
  <c r="CL62" i="15"/>
  <c r="CL63" i="15"/>
  <c r="CL64" i="15"/>
  <c r="CL65" i="15"/>
  <c r="CL66" i="15"/>
  <c r="CL67" i="15"/>
  <c r="CL68" i="15"/>
  <c r="CL98" i="15"/>
  <c r="CL81" i="15"/>
  <c r="CL69" i="15"/>
  <c r="CL77" i="15"/>
  <c r="CL78" i="15"/>
  <c r="CL99" i="15"/>
  <c r="CL79" i="15"/>
  <c r="CL80" i="15"/>
  <c r="CL71" i="15"/>
  <c r="CL72" i="15"/>
  <c r="CL73" i="15"/>
  <c r="CL74" i="15"/>
  <c r="CL75" i="15"/>
  <c r="CL76" i="15"/>
  <c r="CL82" i="15"/>
  <c r="CL83" i="15"/>
  <c r="CL84" i="15"/>
  <c r="CL85" i="15"/>
  <c r="CL86" i="15"/>
  <c r="CL87" i="15"/>
  <c r="CL88" i="15"/>
  <c r="CL89" i="15"/>
  <c r="CL95" i="15"/>
  <c r="CL90" i="15"/>
  <c r="CL91" i="15"/>
  <c r="CL92" i="15"/>
  <c r="BE6" i="15"/>
  <c r="BE7" i="15"/>
  <c r="BE8" i="15"/>
  <c r="BE9" i="15"/>
  <c r="BE10" i="15"/>
  <c r="BE11" i="15"/>
  <c r="BE12" i="15"/>
  <c r="BE13" i="15"/>
  <c r="BE15" i="15"/>
  <c r="BE16" i="15"/>
  <c r="BE17" i="15"/>
  <c r="BE18" i="15"/>
  <c r="BE19" i="15"/>
  <c r="BE20" i="15"/>
  <c r="BE21" i="15"/>
  <c r="BE22" i="15"/>
  <c r="BE23" i="15"/>
  <c r="BE24" i="15"/>
  <c r="BE25" i="15"/>
  <c r="BE26" i="15"/>
  <c r="BE34" i="15"/>
  <c r="BE35" i="15"/>
  <c r="BE36" i="15"/>
  <c r="BE37" i="15"/>
  <c r="BE38" i="15"/>
  <c r="BE39" i="15"/>
  <c r="BE40" i="15"/>
  <c r="BE41" i="15"/>
  <c r="BE42" i="15"/>
  <c r="BE47" i="15"/>
  <c r="BE48" i="15"/>
  <c r="BE49" i="15"/>
  <c r="BE50" i="15"/>
  <c r="BE51" i="15"/>
  <c r="BE52" i="15"/>
  <c r="BE53" i="15"/>
  <c r="BE54" i="15"/>
  <c r="BE55" i="15"/>
  <c r="BE56" i="15"/>
  <c r="BE57" i="15"/>
  <c r="BE58" i="15"/>
  <c r="BE96" i="15"/>
  <c r="BE97" i="15"/>
  <c r="BE60" i="15"/>
  <c r="BE61" i="15"/>
  <c r="BE62" i="15"/>
  <c r="BE63" i="15"/>
  <c r="BE64" i="15"/>
  <c r="BE66" i="15"/>
  <c r="BE67" i="15"/>
  <c r="BE68" i="15"/>
  <c r="BE81" i="15"/>
  <c r="BE99" i="15"/>
  <c r="BE71" i="15"/>
  <c r="BE72" i="15"/>
  <c r="BE73" i="15"/>
  <c r="BE74" i="15"/>
  <c r="BE76" i="15"/>
  <c r="BE82" i="15"/>
  <c r="BE83" i="15"/>
  <c r="BE84" i="15"/>
  <c r="BE85" i="15"/>
  <c r="BE86" i="15"/>
  <c r="BE87" i="15"/>
  <c r="BE89" i="15"/>
  <c r="BE95" i="15"/>
  <c r="BE90" i="15"/>
  <c r="BE91" i="15"/>
  <c r="BA81" i="15"/>
  <c r="BA99" i="15"/>
  <c r="BA71" i="15"/>
  <c r="BA72" i="15"/>
  <c r="BA73" i="15"/>
  <c r="BA74" i="15"/>
  <c r="BA76" i="15"/>
  <c r="BA82" i="15"/>
  <c r="BA83" i="15"/>
  <c r="BA84" i="15"/>
  <c r="BA85" i="15"/>
  <c r="BA86" i="15"/>
  <c r="BA87" i="15"/>
  <c r="BA89" i="15"/>
  <c r="BA95" i="15"/>
  <c r="BA90" i="15"/>
  <c r="BA91" i="15"/>
  <c r="AW56" i="15"/>
  <c r="AW57" i="15"/>
  <c r="AW58" i="15"/>
  <c r="AW96" i="15"/>
  <c r="AW97" i="15"/>
  <c r="AW60" i="15"/>
  <c r="AW61" i="15"/>
  <c r="AW62" i="15"/>
  <c r="AW63" i="15"/>
  <c r="AW64" i="15"/>
  <c r="AW66" i="15"/>
  <c r="AW67" i="15"/>
  <c r="AW68" i="15"/>
  <c r="AW81" i="15"/>
  <c r="AW99" i="15"/>
  <c r="AW71" i="15"/>
  <c r="AW72" i="15"/>
  <c r="AW73" i="15"/>
  <c r="AW74" i="15"/>
  <c r="AW76" i="15"/>
  <c r="AW82" i="15"/>
  <c r="AW83" i="15"/>
  <c r="AW84" i="15"/>
  <c r="AW85" i="15"/>
  <c r="AW86" i="15"/>
  <c r="AW87" i="15"/>
  <c r="AW89" i="15"/>
  <c r="AW95" i="15"/>
  <c r="AW90" i="15"/>
  <c r="AW91" i="15"/>
  <c r="BY96" i="15"/>
  <c r="BY97" i="15"/>
  <c r="BY60" i="15"/>
  <c r="BY61" i="15"/>
  <c r="BY62" i="15"/>
  <c r="BY63" i="15"/>
  <c r="BY64" i="15"/>
  <c r="BY66" i="15"/>
  <c r="BY67" i="15"/>
  <c r="BY68" i="15"/>
  <c r="BY81" i="15"/>
  <c r="BY99" i="15"/>
  <c r="BY71" i="15"/>
  <c r="BY72" i="15"/>
  <c r="BY73" i="15"/>
  <c r="BY74" i="15"/>
  <c r="BY76" i="15"/>
  <c r="BY82" i="15"/>
  <c r="BY83" i="15"/>
  <c r="BY84" i="15"/>
  <c r="BY85" i="15"/>
  <c r="BY86" i="15"/>
  <c r="BY87" i="15"/>
  <c r="BY89" i="15"/>
  <c r="BY95" i="15"/>
  <c r="BY90" i="15"/>
  <c r="BY91" i="15"/>
  <c r="BY58" i="15"/>
  <c r="BI58" i="15"/>
  <c r="BY56" i="15"/>
  <c r="BY57" i="15"/>
  <c r="EL54" i="15"/>
  <c r="EN54" i="15" s="1"/>
  <c r="EL55" i="15"/>
  <c r="EN55" i="15" s="1"/>
  <c r="EL56" i="15"/>
  <c r="EN56" i="15" s="1"/>
  <c r="EL57" i="15"/>
  <c r="EN57" i="15" s="1"/>
  <c r="EL58" i="15"/>
  <c r="EN58" i="15" s="1"/>
  <c r="EL59" i="15"/>
  <c r="EN59" i="15" s="1"/>
  <c r="EL96" i="15"/>
  <c r="EN96" i="15" s="1"/>
  <c r="EL97" i="15"/>
  <c r="EN97" i="15" s="1"/>
  <c r="EL60" i="15"/>
  <c r="EN60" i="15" s="1"/>
  <c r="EL61" i="15"/>
  <c r="EN61" i="15" s="1"/>
  <c r="EL62" i="15"/>
  <c r="EN62" i="15" s="1"/>
  <c r="EL63" i="15"/>
  <c r="EN63" i="15" s="1"/>
  <c r="EL64" i="15"/>
  <c r="EN64" i="15" s="1"/>
  <c r="EL65" i="15"/>
  <c r="EN65" i="15" s="1"/>
  <c r="EL66" i="15"/>
  <c r="EN66" i="15" s="1"/>
  <c r="EL67" i="15"/>
  <c r="EN67" i="15" s="1"/>
  <c r="EL68" i="15"/>
  <c r="EN68" i="15" s="1"/>
  <c r="EL98" i="15"/>
  <c r="EN98" i="15" s="1"/>
  <c r="EL81" i="15"/>
  <c r="EN81" i="15" s="1"/>
  <c r="EL69" i="15"/>
  <c r="EN69" i="15" s="1"/>
  <c r="EL77" i="15"/>
  <c r="EN77" i="15" s="1"/>
  <c r="EL78" i="15"/>
  <c r="EN78" i="15" s="1"/>
  <c r="EL99" i="15"/>
  <c r="EN99" i="15" s="1"/>
  <c r="EL79" i="15"/>
  <c r="EN79" i="15" s="1"/>
  <c r="EL80" i="15"/>
  <c r="EN80" i="15" s="1"/>
  <c r="EL71" i="15"/>
  <c r="EN71" i="15" s="1"/>
  <c r="EL72" i="15"/>
  <c r="EN72" i="15" s="1"/>
  <c r="EL73" i="15"/>
  <c r="EN73" i="15" s="1"/>
  <c r="EL74" i="15"/>
  <c r="EN74" i="15" s="1"/>
  <c r="EL75" i="15"/>
  <c r="EN75" i="15" s="1"/>
  <c r="EL76" i="15"/>
  <c r="EN76" i="15" s="1"/>
  <c r="EL82" i="15"/>
  <c r="EN82" i="15" s="1"/>
  <c r="EL83" i="15"/>
  <c r="EN83" i="15" s="1"/>
  <c r="EL84" i="15"/>
  <c r="EN84" i="15" s="1"/>
  <c r="EL85" i="15"/>
  <c r="EN85" i="15" s="1"/>
  <c r="EL86" i="15"/>
  <c r="EN86" i="15" s="1"/>
  <c r="EL87" i="15"/>
  <c r="EN87" i="15" s="1"/>
  <c r="EL88" i="15"/>
  <c r="EN88" i="15" s="1"/>
  <c r="EL89" i="15"/>
  <c r="EN89" i="15" s="1"/>
  <c r="EL95" i="15"/>
  <c r="EN95" i="15" s="1"/>
  <c r="EL90" i="15"/>
  <c r="EN90" i="15" s="1"/>
  <c r="EL91" i="15"/>
  <c r="EN91" i="15" s="1"/>
  <c r="EL92" i="15"/>
  <c r="EN92" i="15" s="1"/>
  <c r="GR94" i="15" l="1"/>
  <c r="GS93" i="15"/>
  <c r="GL36" i="15"/>
  <c r="GL28" i="15"/>
  <c r="GL20" i="15"/>
  <c r="GL17" i="15"/>
  <c r="GL9" i="15"/>
  <c r="GL88" i="15"/>
  <c r="GL65" i="15"/>
  <c r="CM80" i="15"/>
  <c r="GL55" i="15"/>
  <c r="GL47" i="15"/>
  <c r="GL39" i="15"/>
  <c r="GL31" i="15"/>
  <c r="GL23" i="15"/>
  <c r="GL12" i="15"/>
  <c r="GL91" i="15"/>
  <c r="GL89" i="15"/>
  <c r="GL50" i="15"/>
  <c r="GL42" i="15"/>
  <c r="GL34" i="15"/>
  <c r="GL26" i="15"/>
  <c r="GL15" i="15"/>
  <c r="GL7" i="15"/>
  <c r="DX91" i="15"/>
  <c r="FI91" i="15" s="1"/>
  <c r="DX90" i="15"/>
  <c r="FI90" i="15" s="1"/>
  <c r="DX83" i="15"/>
  <c r="FI83" i="15" s="1"/>
  <c r="DX80" i="15"/>
  <c r="FI80" i="15" s="1"/>
  <c r="DX68" i="15"/>
  <c r="FI68" i="15" s="1"/>
  <c r="DX60" i="15"/>
  <c r="FI60" i="15" s="1"/>
  <c r="DX53" i="15"/>
  <c r="DX45" i="15"/>
  <c r="DX37" i="15"/>
  <c r="DX71" i="15"/>
  <c r="FI71" i="15" s="1"/>
  <c r="DX95" i="15"/>
  <c r="FI95" i="15" s="1"/>
  <c r="DX82" i="15"/>
  <c r="FI82" i="15" s="1"/>
  <c r="DX79" i="15"/>
  <c r="FI79" i="15" s="1"/>
  <c r="DX98" i="15"/>
  <c r="FI98" i="15" s="1"/>
  <c r="CM92" i="15"/>
  <c r="CM85" i="15"/>
  <c r="DX97" i="15"/>
  <c r="FI97" i="15" s="1"/>
  <c r="DX84" i="15"/>
  <c r="FI84" i="15" s="1"/>
  <c r="DX61" i="15"/>
  <c r="FI61" i="15" s="1"/>
  <c r="CM89" i="15"/>
  <c r="GL90" i="15"/>
  <c r="GL83" i="15"/>
  <c r="GL80" i="15"/>
  <c r="GL68" i="15"/>
  <c r="GL60" i="15"/>
  <c r="GL53" i="15"/>
  <c r="GL45" i="15"/>
  <c r="GL37" i="15"/>
  <c r="CM78" i="15"/>
  <c r="DX36" i="15"/>
  <c r="GL66" i="15"/>
  <c r="CM96" i="15"/>
  <c r="CM88" i="15"/>
  <c r="CM91" i="15"/>
  <c r="CM84" i="15"/>
  <c r="GL74" i="15"/>
  <c r="CM76" i="15"/>
  <c r="CM90" i="15"/>
  <c r="CM83" i="15"/>
  <c r="DX99" i="15"/>
  <c r="FI99" i="15" s="1"/>
  <c r="DX42" i="15"/>
  <c r="DX87" i="15"/>
  <c r="FI87" i="15" s="1"/>
  <c r="DX92" i="15"/>
  <c r="FI92" i="15" s="1"/>
  <c r="DX85" i="15"/>
  <c r="FI85" i="15" s="1"/>
  <c r="DX72" i="15"/>
  <c r="FI72" i="15" s="1"/>
  <c r="DX81" i="15"/>
  <c r="FI81" i="15" s="1"/>
  <c r="DX62" i="15"/>
  <c r="FI62" i="15" s="1"/>
  <c r="GL54" i="15"/>
  <c r="GL70" i="15"/>
  <c r="DX89" i="15"/>
  <c r="FI89" i="15" s="1"/>
  <c r="DX66" i="15"/>
  <c r="FI66" i="15" s="1"/>
  <c r="DX34" i="15"/>
  <c r="DX74" i="15"/>
  <c r="FI74" i="15" s="1"/>
  <c r="DX69" i="15"/>
  <c r="FI69" i="15" s="1"/>
  <c r="GL61" i="15"/>
  <c r="GL76" i="15"/>
  <c r="GL99" i="15"/>
  <c r="GL96" i="15"/>
  <c r="CM70" i="15"/>
  <c r="DX76" i="15"/>
  <c r="FI76" i="15" s="1"/>
  <c r="GL87" i="15"/>
  <c r="DX58" i="15"/>
  <c r="FI58" i="15" s="1"/>
  <c r="DX70" i="15"/>
  <c r="FI70" i="15" s="1"/>
  <c r="CM87" i="15"/>
  <c r="DX77" i="15"/>
  <c r="FI77" i="15" s="1"/>
  <c r="DX86" i="15"/>
  <c r="FI86" i="15" s="1"/>
  <c r="DX73" i="15"/>
  <c r="FI73" i="15" s="1"/>
  <c r="GL35" i="15"/>
  <c r="GL27" i="15"/>
  <c r="GL19" i="15"/>
  <c r="GL16" i="15"/>
  <c r="GL8" i="15"/>
  <c r="DX41" i="15"/>
  <c r="DX56" i="15"/>
  <c r="FI56" i="15" s="1"/>
  <c r="DX48" i="15"/>
  <c r="FI48" i="15" s="1"/>
  <c r="DX40" i="15"/>
  <c r="DX32" i="15"/>
  <c r="GL58" i="15"/>
  <c r="GL33" i="15"/>
  <c r="GL14" i="15"/>
  <c r="CM58" i="15"/>
  <c r="CM59" i="15"/>
  <c r="DX57" i="15"/>
  <c r="FI57" i="15" s="1"/>
  <c r="DX49" i="15"/>
  <c r="FI49" i="15" s="1"/>
  <c r="DX33" i="15"/>
  <c r="DX55" i="15"/>
  <c r="FI55" i="15" s="1"/>
  <c r="DX47" i="15"/>
  <c r="FI47" i="15" s="1"/>
  <c r="DX39" i="15"/>
  <c r="DX31" i="15"/>
  <c r="DX59" i="15"/>
  <c r="FI59" i="15" s="1"/>
  <c r="DX35" i="15"/>
  <c r="GL46" i="15"/>
  <c r="GL38" i="15"/>
  <c r="CM61" i="15"/>
  <c r="GL64" i="15"/>
  <c r="CM62" i="15"/>
  <c r="CM60" i="15"/>
  <c r="CM65" i="15"/>
  <c r="DX63" i="15"/>
  <c r="FI63" i="15" s="1"/>
  <c r="DX67" i="15"/>
  <c r="FI67" i="15" s="1"/>
  <c r="DX64" i="15"/>
  <c r="FI64" i="15" s="1"/>
  <c r="GL25" i="15"/>
  <c r="GL56" i="15"/>
  <c r="GL48" i="15"/>
  <c r="GL40" i="15"/>
  <c r="GL32" i="15"/>
  <c r="GL24" i="15"/>
  <c r="GL13" i="15"/>
  <c r="DX88" i="15"/>
  <c r="FI88" i="15" s="1"/>
  <c r="DX75" i="15"/>
  <c r="FI75" i="15" s="1"/>
  <c r="DX78" i="15"/>
  <c r="FI78" i="15" s="1"/>
  <c r="DX65" i="15"/>
  <c r="FI65" i="15" s="1"/>
  <c r="DX50" i="15"/>
  <c r="GL84" i="15"/>
  <c r="CM64" i="15"/>
  <c r="CM86" i="15"/>
  <c r="CM95" i="15"/>
  <c r="CM82" i="15"/>
  <c r="CM97" i="15"/>
  <c r="DX54" i="15"/>
  <c r="FI54" i="15" s="1"/>
  <c r="DX46" i="15"/>
  <c r="DX38" i="15"/>
  <c r="DX30" i="15"/>
  <c r="GL29" i="15"/>
  <c r="GL21" i="15"/>
  <c r="GL18" i="15"/>
  <c r="GL10" i="15"/>
  <c r="GL82" i="15"/>
  <c r="GL79" i="15"/>
  <c r="GL67" i="15"/>
  <c r="GL97" i="15"/>
  <c r="CM63" i="15"/>
  <c r="GL98" i="15"/>
  <c r="DX96" i="15"/>
  <c r="FI96" i="15" s="1"/>
  <c r="DX52" i="15"/>
  <c r="DX44" i="15"/>
  <c r="GL51" i="15"/>
  <c r="GL43" i="15"/>
  <c r="GL52" i="15"/>
  <c r="GL44" i="15"/>
  <c r="GL75" i="15"/>
  <c r="GL78" i="15"/>
  <c r="GL59" i="15"/>
  <c r="DX51" i="15"/>
  <c r="DX43" i="15"/>
  <c r="GL77" i="15"/>
  <c r="GL71" i="15"/>
  <c r="GL57" i="15"/>
  <c r="GL49" i="15"/>
  <c r="GL41" i="15"/>
  <c r="GL6" i="15"/>
  <c r="GL30" i="15"/>
  <c r="GL22" i="15"/>
  <c r="GL11" i="15"/>
  <c r="GL86" i="15"/>
  <c r="GL73" i="15"/>
  <c r="GL69" i="15"/>
  <c r="GL63" i="15"/>
  <c r="GL92" i="15"/>
  <c r="GL85" i="15"/>
  <c r="GL72" i="15"/>
  <c r="GL81" i="15"/>
  <c r="GL62" i="15"/>
  <c r="BY54" i="15"/>
  <c r="BY55" i="15"/>
  <c r="BQ53" i="15"/>
  <c r="BQ54" i="15"/>
  <c r="BQ55" i="15"/>
  <c r="BQ56" i="15"/>
  <c r="BQ57" i="15"/>
  <c r="BZ96" i="15"/>
  <c r="BQ52" i="15"/>
  <c r="GM96" i="15" l="1"/>
  <c r="GM95" i="15"/>
  <c r="GR95" i="15" s="1"/>
  <c r="GM89" i="15"/>
  <c r="GR89" i="15" s="1"/>
  <c r="GM92" i="15"/>
  <c r="GM88" i="15"/>
  <c r="GS88" i="15" s="1"/>
  <c r="GM90" i="15"/>
  <c r="GS90" i="15" s="1"/>
  <c r="GM91" i="15"/>
  <c r="GR91" i="15" s="1"/>
  <c r="GM76" i="15"/>
  <c r="GR76" i="15" s="1"/>
  <c r="GM80" i="15"/>
  <c r="GS80" i="15" s="1"/>
  <c r="GM83" i="15"/>
  <c r="GS83" i="15" s="1"/>
  <c r="GM70" i="15"/>
  <c r="GS70" i="15" s="1"/>
  <c r="GM87" i="15"/>
  <c r="GS87" i="15" s="1"/>
  <c r="GM86" i="15"/>
  <c r="GS86" i="15" s="1"/>
  <c r="GM85" i="15"/>
  <c r="GS85" i="15" s="1"/>
  <c r="GM84" i="15"/>
  <c r="GR84" i="15" s="1"/>
  <c r="GM78" i="15"/>
  <c r="GR78" i="15" s="1"/>
  <c r="GM65" i="15"/>
  <c r="GS65" i="15" s="1"/>
  <c r="GM82" i="15"/>
  <c r="GR82" i="15" s="1"/>
  <c r="EP5" i="15"/>
  <c r="ER5" i="15" s="1"/>
  <c r="EL53" i="15"/>
  <c r="EN53" i="15" s="1"/>
  <c r="FI53" i="15" s="1"/>
  <c r="DW6" i="15"/>
  <c r="DW7" i="15"/>
  <c r="DW8" i="15"/>
  <c r="DW9" i="15"/>
  <c r="DW10" i="15"/>
  <c r="DW11" i="15"/>
  <c r="DW12" i="15"/>
  <c r="DW13" i="15"/>
  <c r="DW14" i="15"/>
  <c r="DW15" i="15"/>
  <c r="DW16" i="15"/>
  <c r="DW17" i="15"/>
  <c r="DW18" i="15"/>
  <c r="DW19" i="15"/>
  <c r="DW20" i="15"/>
  <c r="DW5" i="15"/>
  <c r="BY53" i="15"/>
  <c r="BA52" i="15"/>
  <c r="BA53" i="15"/>
  <c r="BA54" i="15"/>
  <c r="BA55" i="15"/>
  <c r="BA56" i="15"/>
  <c r="BA57" i="15"/>
  <c r="BA58" i="15"/>
  <c r="BA96" i="15"/>
  <c r="BA97" i="15"/>
  <c r="BA60" i="15"/>
  <c r="BA61" i="15"/>
  <c r="BA62" i="15"/>
  <c r="BA63" i="15"/>
  <c r="BA64" i="15"/>
  <c r="BA66" i="15"/>
  <c r="BA67" i="15"/>
  <c r="BA68" i="15"/>
  <c r="AW53" i="15"/>
  <c r="AW54" i="15"/>
  <c r="AW55" i="15"/>
  <c r="BZ58" i="15"/>
  <c r="GM58" i="15" s="1"/>
  <c r="GR70" i="15" l="1"/>
  <c r="GS95" i="15"/>
  <c r="GR80" i="15"/>
  <c r="GS76" i="15"/>
  <c r="GR83" i="15"/>
  <c r="GS91" i="15"/>
  <c r="GR88" i="15"/>
  <c r="GR86" i="15"/>
  <c r="GR90" i="15"/>
  <c r="GR87" i="15"/>
  <c r="GR65" i="15"/>
  <c r="GS89" i="15"/>
  <c r="GR85" i="15"/>
  <c r="GS84" i="15"/>
  <c r="GS78" i="15"/>
  <c r="GS82" i="15"/>
  <c r="GR92" i="15"/>
  <c r="GS92" i="15"/>
  <c r="GM59" i="15"/>
  <c r="BT86" i="15" l="1"/>
  <c r="BU86" i="15" s="1"/>
  <c r="BT85" i="15"/>
  <c r="BU85" i="15" s="1"/>
  <c r="BT84" i="15"/>
  <c r="BU84" i="15" s="1"/>
  <c r="BT83" i="15"/>
  <c r="BU83" i="15" s="1"/>
  <c r="BT82" i="15"/>
  <c r="BU82" i="15" s="1"/>
  <c r="BT76" i="15"/>
  <c r="BU76" i="15" s="1"/>
  <c r="CM75" i="15"/>
  <c r="CM74" i="15"/>
  <c r="BT74" i="15"/>
  <c r="BU74" i="15" s="1"/>
  <c r="CM73" i="15"/>
  <c r="BT73" i="15"/>
  <c r="BU73" i="15" s="1"/>
  <c r="CM72" i="15"/>
  <c r="BT72" i="15"/>
  <c r="BU72" i="15" s="1"/>
  <c r="CM71" i="15"/>
  <c r="BT71" i="15"/>
  <c r="BU71" i="15" s="1"/>
  <c r="CM79" i="15"/>
  <c r="CM99" i="15"/>
  <c r="BT99" i="15"/>
  <c r="BU99" i="15" s="1"/>
  <c r="CM77" i="15"/>
  <c r="CM69" i="15"/>
  <c r="CM81" i="15"/>
  <c r="BT81" i="15"/>
  <c r="BU81" i="15" s="1"/>
  <c r="CM98" i="15"/>
  <c r="CM68" i="15"/>
  <c r="BT68" i="15"/>
  <c r="BU68" i="15" s="1"/>
  <c r="CM67" i="15"/>
  <c r="BT67" i="15"/>
  <c r="BU67" i="15" s="1"/>
  <c r="CM66" i="15"/>
  <c r="BT66" i="15"/>
  <c r="BU66" i="15" s="1"/>
  <c r="BI66" i="15"/>
  <c r="BT64" i="15"/>
  <c r="BU64" i="15" s="1"/>
  <c r="BI64" i="15"/>
  <c r="BT63" i="15"/>
  <c r="BU63" i="15" s="1"/>
  <c r="BI63" i="15"/>
  <c r="BT62" i="15"/>
  <c r="BU62" i="15" s="1"/>
  <c r="BI62" i="15"/>
  <c r="BT61" i="15"/>
  <c r="BU61" i="15" s="1"/>
  <c r="BI61" i="15"/>
  <c r="BT60" i="15"/>
  <c r="BU60" i="15" s="1"/>
  <c r="BI60" i="15"/>
  <c r="BT97" i="15"/>
  <c r="BU97" i="15" s="1"/>
  <c r="BI97" i="15"/>
  <c r="CM57" i="15"/>
  <c r="BU57" i="15"/>
  <c r="BI57" i="15"/>
  <c r="CM56" i="15"/>
  <c r="BU56" i="15"/>
  <c r="BI56" i="15"/>
  <c r="CM55" i="15"/>
  <c r="BU55" i="15"/>
  <c r="BI55" i="15"/>
  <c r="CM54" i="15"/>
  <c r="BU54" i="15"/>
  <c r="BI54" i="15"/>
  <c r="CM53" i="15"/>
  <c r="BU53" i="15"/>
  <c r="BI53" i="15"/>
  <c r="EL52" i="15"/>
  <c r="EN52" i="15" s="1"/>
  <c r="FI52" i="15" s="1"/>
  <c r="CM52" i="15"/>
  <c r="BY52" i="15"/>
  <c r="BT52" i="15"/>
  <c r="BU52" i="15" s="1"/>
  <c r="AW52" i="15"/>
  <c r="BZ57" i="15" l="1"/>
  <c r="BZ64" i="15"/>
  <c r="BZ61" i="15"/>
  <c r="BZ97" i="15"/>
  <c r="BZ71" i="15"/>
  <c r="GM71" i="15" s="1"/>
  <c r="GQ96" i="15"/>
  <c r="GS96" i="15" s="1"/>
  <c r="GP96" i="15"/>
  <c r="GR96" i="15" s="1"/>
  <c r="BZ60" i="15"/>
  <c r="GQ59" i="15"/>
  <c r="GS59" i="15" s="1"/>
  <c r="GP59" i="15"/>
  <c r="GR59" i="15" s="1"/>
  <c r="BZ55" i="15"/>
  <c r="BZ63" i="15"/>
  <c r="BZ62" i="15"/>
  <c r="GM62" i="15" s="1"/>
  <c r="BZ56" i="15"/>
  <c r="BZ53" i="15"/>
  <c r="BZ99" i="15"/>
  <c r="GM99" i="15" s="1"/>
  <c r="GM79" i="15"/>
  <c r="BZ54" i="15"/>
  <c r="BZ52" i="15"/>
  <c r="BZ67" i="15"/>
  <c r="BZ81" i="15"/>
  <c r="GM81" i="15" s="1"/>
  <c r="GM98" i="15"/>
  <c r="BZ74" i="15"/>
  <c r="GM74" i="15" s="1"/>
  <c r="GM77" i="15"/>
  <c r="BZ68" i="15"/>
  <c r="BZ72" i="15"/>
  <c r="GM72" i="15" s="1"/>
  <c r="GM69" i="15"/>
  <c r="GM75" i="15"/>
  <c r="BZ66" i="15"/>
  <c r="BZ73" i="15"/>
  <c r="GM73" i="15" s="1"/>
  <c r="BI51" i="15"/>
  <c r="BI50" i="15"/>
  <c r="BA50" i="15"/>
  <c r="BA51" i="15"/>
  <c r="AW47" i="15"/>
  <c r="AW48" i="15"/>
  <c r="AW49" i="15"/>
  <c r="BA47" i="15"/>
  <c r="BA48" i="15"/>
  <c r="BA49" i="15"/>
  <c r="BI47" i="15"/>
  <c r="BI48" i="15"/>
  <c r="BI49" i="15"/>
  <c r="BY47" i="15"/>
  <c r="BY48" i="15"/>
  <c r="BY49" i="15"/>
  <c r="CM47" i="15"/>
  <c r="CM48" i="15"/>
  <c r="CM49" i="15"/>
  <c r="BT47" i="15"/>
  <c r="BT48" i="15"/>
  <c r="BT49" i="15"/>
  <c r="BT50" i="15"/>
  <c r="BT51" i="15"/>
  <c r="GM66" i="15" l="1"/>
  <c r="GR66" i="15" s="1"/>
  <c r="GM57" i="15"/>
  <c r="GR57" i="15" s="1"/>
  <c r="GM67" i="15"/>
  <c r="GS67" i="15" s="1"/>
  <c r="GM64" i="15"/>
  <c r="GS64" i="15" s="1"/>
  <c r="GM61" i="15"/>
  <c r="GS61" i="15" s="1"/>
  <c r="GM52" i="15"/>
  <c r="GR52" i="15" s="1"/>
  <c r="GM60" i="15"/>
  <c r="GS60" i="15" s="1"/>
  <c r="GM56" i="15"/>
  <c r="GS56" i="15" s="1"/>
  <c r="GM54" i="15"/>
  <c r="GS54" i="15" s="1"/>
  <c r="GM97" i="15"/>
  <c r="GM53" i="15"/>
  <c r="GS53" i="15" s="1"/>
  <c r="GM68" i="15"/>
  <c r="GS68" i="15" s="1"/>
  <c r="GM55" i="15"/>
  <c r="GR55" i="15" s="1"/>
  <c r="GM63" i="15"/>
  <c r="GS72" i="15"/>
  <c r="GR72" i="15"/>
  <c r="GR69" i="15"/>
  <c r="GS69" i="15"/>
  <c r="GR79" i="15"/>
  <c r="GS79" i="15"/>
  <c r="GR71" i="15"/>
  <c r="GS71" i="15"/>
  <c r="GS77" i="15"/>
  <c r="GR77" i="15"/>
  <c r="GR99" i="15"/>
  <c r="GS99" i="15"/>
  <c r="GS81" i="15"/>
  <c r="GR81" i="15"/>
  <c r="GS75" i="15"/>
  <c r="GR75" i="15"/>
  <c r="GS74" i="15"/>
  <c r="GR74" i="15"/>
  <c r="GS62" i="15"/>
  <c r="GR62" i="15"/>
  <c r="GR73" i="15"/>
  <c r="GS73" i="15"/>
  <c r="GS98" i="15"/>
  <c r="GR98" i="15"/>
  <c r="AW37" i="15"/>
  <c r="AW38" i="15"/>
  <c r="AW39" i="15"/>
  <c r="AW40" i="15"/>
  <c r="AW41" i="15"/>
  <c r="AW42" i="15"/>
  <c r="BA37" i="15"/>
  <c r="BA38" i="15"/>
  <c r="BA39" i="15"/>
  <c r="BA40" i="15"/>
  <c r="BA41" i="15"/>
  <c r="BA42" i="15"/>
  <c r="BI37" i="15"/>
  <c r="BI38" i="15"/>
  <c r="BI39" i="15"/>
  <c r="BI40" i="15"/>
  <c r="BI41" i="15"/>
  <c r="BI42" i="15"/>
  <c r="BT19" i="15"/>
  <c r="BU19" i="15" s="1"/>
  <c r="BT20" i="15"/>
  <c r="BU20" i="15" s="1"/>
  <c r="BT21" i="15"/>
  <c r="BU21" i="15" s="1"/>
  <c r="BT22" i="15"/>
  <c r="BU22" i="15" s="1"/>
  <c r="BT23" i="15"/>
  <c r="BU23" i="15" s="1"/>
  <c r="BT24" i="15"/>
  <c r="BU24" i="15" s="1"/>
  <c r="BT25" i="15"/>
  <c r="BU25" i="15" s="1"/>
  <c r="BT26" i="15"/>
  <c r="BU26" i="15" s="1"/>
  <c r="BT34" i="15"/>
  <c r="BU34" i="15" s="1"/>
  <c r="BT35" i="15"/>
  <c r="BU35" i="15" s="1"/>
  <c r="BT36" i="15"/>
  <c r="BU36" i="15" s="1"/>
  <c r="BT37" i="15"/>
  <c r="BU37" i="15" s="1"/>
  <c r="BT38" i="15"/>
  <c r="BU38" i="15" s="1"/>
  <c r="BT39" i="15"/>
  <c r="BU39" i="15" s="1"/>
  <c r="BT40" i="15"/>
  <c r="BU40" i="15" s="1"/>
  <c r="BT41" i="15"/>
  <c r="BU41" i="15" s="1"/>
  <c r="BT42" i="15"/>
  <c r="BU42" i="15" s="1"/>
  <c r="BU47" i="15"/>
  <c r="BZ47" i="15" s="1"/>
  <c r="BU48" i="15"/>
  <c r="BZ48" i="15" s="1"/>
  <c r="BU49" i="15"/>
  <c r="BZ49" i="15" s="1"/>
  <c r="BU50" i="15"/>
  <c r="BU51" i="15"/>
  <c r="GS97" i="15" l="1"/>
  <c r="GR97" i="15"/>
  <c r="GS57" i="15"/>
  <c r="GR61" i="15"/>
  <c r="GR67" i="15"/>
  <c r="GR64" i="15"/>
  <c r="GS66" i="15"/>
  <c r="GR60" i="15"/>
  <c r="GS52" i="15"/>
  <c r="GS55" i="15"/>
  <c r="GM47" i="15"/>
  <c r="GS47" i="15" s="1"/>
  <c r="GR56" i="15"/>
  <c r="GR54" i="15"/>
  <c r="GR53" i="15"/>
  <c r="GR68" i="15"/>
  <c r="GS63" i="15"/>
  <c r="GR63" i="15"/>
  <c r="GM48" i="15"/>
  <c r="GR48" i="15" s="1"/>
  <c r="GM49" i="15"/>
  <c r="EL42" i="15"/>
  <c r="EN42" i="15" s="1"/>
  <c r="FI42" i="15" s="1"/>
  <c r="DO42" i="15"/>
  <c r="DK42" i="15"/>
  <c r="DG42" i="15"/>
  <c r="DC42" i="15"/>
  <c r="CY42" i="15"/>
  <c r="CU42" i="15"/>
  <c r="CQ42" i="15"/>
  <c r="CM42" i="15"/>
  <c r="BY42" i="15"/>
  <c r="BZ42" i="15" s="1"/>
  <c r="EL51" i="15"/>
  <c r="EN51" i="15" s="1"/>
  <c r="FI51" i="15" s="1"/>
  <c r="CM51" i="15"/>
  <c r="BY51" i="15"/>
  <c r="AW51" i="15"/>
  <c r="EL50" i="15"/>
  <c r="EN50" i="15" s="1"/>
  <c r="FI50" i="15" s="1"/>
  <c r="CM50" i="15"/>
  <c r="BY50" i="15"/>
  <c r="AW50" i="15"/>
  <c r="EL46" i="15"/>
  <c r="EN46" i="15" s="1"/>
  <c r="FI46" i="15" s="1"/>
  <c r="CM46" i="15"/>
  <c r="EL45" i="15"/>
  <c r="EN45" i="15" s="1"/>
  <c r="FI45" i="15" s="1"/>
  <c r="CM45" i="15"/>
  <c r="EL44" i="15"/>
  <c r="EN44" i="15" s="1"/>
  <c r="FI44" i="15" s="1"/>
  <c r="CM44" i="15"/>
  <c r="EL43" i="15"/>
  <c r="EN43" i="15" s="1"/>
  <c r="FI43" i="15" s="1"/>
  <c r="EL37" i="15"/>
  <c r="EN37" i="15" s="1"/>
  <c r="EJ37" i="15"/>
  <c r="DO37" i="15"/>
  <c r="DK37" i="15"/>
  <c r="DG37" i="15"/>
  <c r="DC37" i="15"/>
  <c r="CY37" i="15"/>
  <c r="CU37" i="15"/>
  <c r="CQ37" i="15"/>
  <c r="CM37" i="15"/>
  <c r="BY37" i="15"/>
  <c r="BZ37" i="15" s="1"/>
  <c r="EL41" i="15"/>
  <c r="EN41" i="15" s="1"/>
  <c r="FI41" i="15" s="1"/>
  <c r="DO41" i="15"/>
  <c r="DK41" i="15"/>
  <c r="DG41" i="15"/>
  <c r="DC41" i="15"/>
  <c r="CY41" i="15"/>
  <c r="CU41" i="15"/>
  <c r="CQ41" i="15"/>
  <c r="CM41" i="15"/>
  <c r="BY41" i="15"/>
  <c r="BZ41" i="15" s="1"/>
  <c r="EL40" i="15"/>
  <c r="EN40" i="15" s="1"/>
  <c r="FI40" i="15" s="1"/>
  <c r="DO40" i="15"/>
  <c r="DK40" i="15"/>
  <c r="DG40" i="15"/>
  <c r="DC40" i="15"/>
  <c r="CY40" i="15"/>
  <c r="CU40" i="15"/>
  <c r="CQ40" i="15"/>
  <c r="CM40" i="15"/>
  <c r="BY40" i="15"/>
  <c r="BZ40" i="15" s="1"/>
  <c r="EL39" i="15"/>
  <c r="EN39" i="15" s="1"/>
  <c r="EJ39" i="15"/>
  <c r="DO39" i="15"/>
  <c r="DK39" i="15"/>
  <c r="DG39" i="15"/>
  <c r="DC39" i="15"/>
  <c r="CY39" i="15"/>
  <c r="CU39" i="15"/>
  <c r="CQ39" i="15"/>
  <c r="CM39" i="15"/>
  <c r="BY39" i="15"/>
  <c r="BZ39" i="15" s="1"/>
  <c r="EL38" i="15"/>
  <c r="EN38" i="15" s="1"/>
  <c r="EJ38" i="15"/>
  <c r="DO38" i="15"/>
  <c r="DK38" i="15"/>
  <c r="DG38" i="15"/>
  <c r="DC38" i="15"/>
  <c r="CY38" i="15"/>
  <c r="CU38" i="15"/>
  <c r="CQ38" i="15"/>
  <c r="CM38" i="15"/>
  <c r="BY38" i="15"/>
  <c r="BZ38" i="15" s="1"/>
  <c r="EL36" i="15"/>
  <c r="EN36" i="15" s="1"/>
  <c r="EJ36" i="15"/>
  <c r="DO36" i="15"/>
  <c r="DK36" i="15"/>
  <c r="DG36" i="15"/>
  <c r="DC36" i="15"/>
  <c r="CY36" i="15"/>
  <c r="CU36" i="15"/>
  <c r="CQ36" i="15"/>
  <c r="CM36" i="15"/>
  <c r="BY36" i="15"/>
  <c r="BI36" i="15"/>
  <c r="BA36" i="15"/>
  <c r="AW36" i="15"/>
  <c r="EL35" i="15"/>
  <c r="EN35" i="15" s="1"/>
  <c r="EJ35" i="15"/>
  <c r="DO35" i="15"/>
  <c r="DK35" i="15"/>
  <c r="DG35" i="15"/>
  <c r="DC35" i="15"/>
  <c r="CY35" i="15"/>
  <c r="CU35" i="15"/>
  <c r="CQ35" i="15"/>
  <c r="CM35" i="15"/>
  <c r="BY35" i="15"/>
  <c r="BI35" i="15"/>
  <c r="BA35" i="15"/>
  <c r="AW35" i="15"/>
  <c r="EL34" i="15"/>
  <c r="EN34" i="15" s="1"/>
  <c r="EJ34" i="15"/>
  <c r="DO34" i="15"/>
  <c r="DK34" i="15"/>
  <c r="DG34" i="15"/>
  <c r="DC34" i="15"/>
  <c r="CY34" i="15"/>
  <c r="CU34" i="15"/>
  <c r="CQ34" i="15"/>
  <c r="CM34" i="15"/>
  <c r="BY34" i="15"/>
  <c r="BI34" i="15"/>
  <c r="BA34" i="15"/>
  <c r="AW34" i="15"/>
  <c r="EL33" i="15"/>
  <c r="EN33" i="15" s="1"/>
  <c r="EJ33" i="15"/>
  <c r="CM33" i="15"/>
  <c r="EL32" i="15"/>
  <c r="EN32" i="15" s="1"/>
  <c r="EJ32" i="15"/>
  <c r="CM32" i="15"/>
  <c r="EL31" i="15"/>
  <c r="EN31" i="15" s="1"/>
  <c r="EJ31" i="15"/>
  <c r="CM31" i="15"/>
  <c r="EL30" i="15"/>
  <c r="EN30" i="15" s="1"/>
  <c r="EJ30" i="15"/>
  <c r="CM30" i="15"/>
  <c r="EL29" i="15"/>
  <c r="EN29" i="15" s="1"/>
  <c r="EJ29" i="15"/>
  <c r="DV29" i="15"/>
  <c r="DX29" i="15" s="1"/>
  <c r="CM29" i="15"/>
  <c r="EL28" i="15"/>
  <c r="EN28" i="15" s="1"/>
  <c r="EJ28" i="15"/>
  <c r="DV28" i="15"/>
  <c r="DX28" i="15" s="1"/>
  <c r="CM28" i="15"/>
  <c r="EL27" i="15"/>
  <c r="EN27" i="15" s="1"/>
  <c r="EJ27" i="15"/>
  <c r="DV27" i="15"/>
  <c r="DX27" i="15" s="1"/>
  <c r="CM27" i="15"/>
  <c r="EL26" i="15"/>
  <c r="EN26" i="15" s="1"/>
  <c r="EJ26" i="15"/>
  <c r="DV26" i="15"/>
  <c r="DX26" i="15" s="1"/>
  <c r="DS26" i="15"/>
  <c r="DO26" i="15"/>
  <c r="DK26" i="15"/>
  <c r="DG26" i="15"/>
  <c r="DC26" i="15"/>
  <c r="CY26" i="15"/>
  <c r="CU26" i="15"/>
  <c r="CQ26" i="15"/>
  <c r="CM26" i="15"/>
  <c r="BY26" i="15"/>
  <c r="BQ26" i="15"/>
  <c r="BI26" i="15"/>
  <c r="BA26" i="15"/>
  <c r="AW26" i="15"/>
  <c r="EL25" i="15"/>
  <c r="EN25" i="15" s="1"/>
  <c r="EJ25" i="15"/>
  <c r="DV25" i="15"/>
  <c r="DX25" i="15" s="1"/>
  <c r="DS25" i="15"/>
  <c r="DO25" i="15"/>
  <c r="DK25" i="15"/>
  <c r="DG25" i="15"/>
  <c r="DC25" i="15"/>
  <c r="CY25" i="15"/>
  <c r="CU25" i="15"/>
  <c r="CQ25" i="15"/>
  <c r="CM25" i="15"/>
  <c r="BY25" i="15"/>
  <c r="BQ25" i="15"/>
  <c r="BI25" i="15"/>
  <c r="BA25" i="15"/>
  <c r="AW25" i="15"/>
  <c r="EL24" i="15"/>
  <c r="EN24" i="15" s="1"/>
  <c r="EJ24" i="15"/>
  <c r="DV24" i="15"/>
  <c r="DX24" i="15" s="1"/>
  <c r="CM24" i="15"/>
  <c r="BY24" i="15"/>
  <c r="BQ24" i="15"/>
  <c r="BI24" i="15"/>
  <c r="BA24" i="15"/>
  <c r="AW24" i="15"/>
  <c r="EJ23" i="15"/>
  <c r="DV23" i="15"/>
  <c r="DX23" i="15" s="1"/>
  <c r="CM23" i="15"/>
  <c r="BY23" i="15"/>
  <c r="BI23" i="15"/>
  <c r="BA23" i="15"/>
  <c r="AW23" i="15"/>
  <c r="EJ22" i="15"/>
  <c r="DV22" i="15"/>
  <c r="DX22" i="15" s="1"/>
  <c r="DS22" i="15"/>
  <c r="DO22" i="15"/>
  <c r="DK22" i="15"/>
  <c r="DG22" i="15"/>
  <c r="DC22" i="15"/>
  <c r="CY22" i="15"/>
  <c r="CU22" i="15"/>
  <c r="CQ22" i="15"/>
  <c r="CM22" i="15"/>
  <c r="BY22" i="15"/>
  <c r="BA22" i="15"/>
  <c r="AW22" i="15"/>
  <c r="EJ21" i="15"/>
  <c r="DV21" i="15"/>
  <c r="DX21" i="15" s="1"/>
  <c r="CM21" i="15"/>
  <c r="BY21" i="15"/>
  <c r="BQ21" i="15"/>
  <c r="BI21" i="15"/>
  <c r="BA21" i="15"/>
  <c r="AW21" i="15"/>
  <c r="EJ20" i="15"/>
  <c r="DV20" i="15"/>
  <c r="DX20" i="15" s="1"/>
  <c r="DS20" i="15"/>
  <c r="DK20" i="15"/>
  <c r="DG20" i="15"/>
  <c r="DC20" i="15"/>
  <c r="CY20" i="15"/>
  <c r="CQ20" i="15"/>
  <c r="CM20" i="15"/>
  <c r="BI20" i="15"/>
  <c r="BZ20" i="15" s="1"/>
  <c r="BA20" i="15"/>
  <c r="AL20" i="15"/>
  <c r="AQ20" i="15" s="1"/>
  <c r="EJ19" i="15"/>
  <c r="DV19" i="15"/>
  <c r="DX19" i="15" s="1"/>
  <c r="DS19" i="15"/>
  <c r="DK19" i="15"/>
  <c r="DG19" i="15"/>
  <c r="DC19" i="15"/>
  <c r="CY19" i="15"/>
  <c r="CQ19" i="15"/>
  <c r="CM19" i="15"/>
  <c r="BI19" i="15"/>
  <c r="BZ19" i="15" s="1"/>
  <c r="BA19" i="15"/>
  <c r="AL19" i="15"/>
  <c r="AQ19" i="15" s="1"/>
  <c r="EJ18" i="15"/>
  <c r="DV18" i="15"/>
  <c r="DX18" i="15" s="1"/>
  <c r="CM18" i="15"/>
  <c r="BY18" i="15"/>
  <c r="BT18" i="15"/>
  <c r="BU18" i="15" s="1"/>
  <c r="BQ18" i="15"/>
  <c r="BI18" i="15"/>
  <c r="BA18" i="15"/>
  <c r="AW18" i="15"/>
  <c r="AO18" i="15"/>
  <c r="FF18" i="15" s="1"/>
  <c r="FH18" i="15" s="1"/>
  <c r="AM18" i="15"/>
  <c r="AL18" i="15"/>
  <c r="EJ17" i="15"/>
  <c r="DV17" i="15"/>
  <c r="DX17" i="15" s="1"/>
  <c r="CM17" i="15"/>
  <c r="BY17" i="15"/>
  <c r="BT17" i="15"/>
  <c r="BU17" i="15" s="1"/>
  <c r="BQ17" i="15"/>
  <c r="BI17" i="15"/>
  <c r="BA17" i="15"/>
  <c r="AW17" i="15"/>
  <c r="AO17" i="15"/>
  <c r="FF17" i="15" s="1"/>
  <c r="FH17" i="15" s="1"/>
  <c r="AM17" i="15"/>
  <c r="AL17" i="15"/>
  <c r="EJ16" i="15"/>
  <c r="DV16" i="15"/>
  <c r="DX16" i="15" s="1"/>
  <c r="DS16" i="15"/>
  <c r="DO16" i="15"/>
  <c r="DK16" i="15"/>
  <c r="DG16" i="15"/>
  <c r="DC16" i="15"/>
  <c r="CY16" i="15"/>
  <c r="CU16" i="15"/>
  <c r="CQ16" i="15"/>
  <c r="CM16" i="15"/>
  <c r="BY16" i="15"/>
  <c r="BU16" i="15"/>
  <c r="BQ16" i="15"/>
  <c r="BI16" i="15"/>
  <c r="BA16" i="15"/>
  <c r="AW16" i="15"/>
  <c r="AL16" i="15"/>
  <c r="AQ16" i="15" s="1"/>
  <c r="EJ15" i="15"/>
  <c r="DV15" i="15"/>
  <c r="DX15" i="15" s="1"/>
  <c r="DS15" i="15"/>
  <c r="DO15" i="15"/>
  <c r="DK15" i="15"/>
  <c r="DG15" i="15"/>
  <c r="DC15" i="15"/>
  <c r="CY15" i="15"/>
  <c r="CU15" i="15"/>
  <c r="CQ15" i="15"/>
  <c r="CM15" i="15"/>
  <c r="BY15" i="15"/>
  <c r="BU15" i="15"/>
  <c r="BQ15" i="15"/>
  <c r="BI15" i="15"/>
  <c r="BA15" i="15"/>
  <c r="AW15" i="15"/>
  <c r="AL15" i="15"/>
  <c r="AQ15" i="15" s="1"/>
  <c r="EL14" i="15"/>
  <c r="EN14" i="15" s="1"/>
  <c r="EJ14" i="15"/>
  <c r="DV14" i="15"/>
  <c r="DX14" i="15" s="1"/>
  <c r="DS14" i="15"/>
  <c r="DO14" i="15"/>
  <c r="DK14" i="15"/>
  <c r="DG14" i="15"/>
  <c r="DC14" i="15"/>
  <c r="CY14" i="15"/>
  <c r="CU14" i="15"/>
  <c r="CQ14" i="15"/>
  <c r="CM14" i="15"/>
  <c r="AL14" i="15"/>
  <c r="AQ14" i="15" s="1"/>
  <c r="EL13" i="15"/>
  <c r="EN13" i="15" s="1"/>
  <c r="EJ13" i="15"/>
  <c r="DV13" i="15"/>
  <c r="DX13" i="15" s="1"/>
  <c r="DS13" i="15"/>
  <c r="DO13" i="15"/>
  <c r="DK13" i="15"/>
  <c r="DG13" i="15"/>
  <c r="DC13" i="15"/>
  <c r="CY13" i="15"/>
  <c r="CU13" i="15"/>
  <c r="CQ13" i="15"/>
  <c r="CM13" i="15"/>
  <c r="BY13" i="15"/>
  <c r="BU13" i="15"/>
  <c r="BQ13" i="15"/>
  <c r="BM13" i="15"/>
  <c r="BI13" i="15"/>
  <c r="BA13" i="15"/>
  <c r="AW13" i="15"/>
  <c r="AL13" i="15"/>
  <c r="AQ13" i="15" s="1"/>
  <c r="EL12" i="15"/>
  <c r="EN12" i="15" s="1"/>
  <c r="EJ12" i="15"/>
  <c r="DV12" i="15"/>
  <c r="DX12" i="15" s="1"/>
  <c r="DS12" i="15"/>
  <c r="DO12" i="15"/>
  <c r="DK12" i="15"/>
  <c r="DG12" i="15"/>
  <c r="DC12" i="15"/>
  <c r="CY12" i="15"/>
  <c r="CU12" i="15"/>
  <c r="CQ12" i="15"/>
  <c r="CM12" i="15"/>
  <c r="BY12" i="15"/>
  <c r="BU12" i="15"/>
  <c r="BQ12" i="15"/>
  <c r="BM12" i="15"/>
  <c r="BI12" i="15"/>
  <c r="BA12" i="15"/>
  <c r="AW12" i="15"/>
  <c r="AL12" i="15"/>
  <c r="AQ12" i="15" s="1"/>
  <c r="EL11" i="15"/>
  <c r="EN11" i="15" s="1"/>
  <c r="EJ11" i="15"/>
  <c r="DV11" i="15"/>
  <c r="DX11" i="15" s="1"/>
  <c r="DS11" i="15"/>
  <c r="DO11" i="15"/>
  <c r="DK11" i="15"/>
  <c r="DG11" i="15"/>
  <c r="DC11" i="15"/>
  <c r="CY11" i="15"/>
  <c r="CU11" i="15"/>
  <c r="CQ11" i="15"/>
  <c r="CM11" i="15"/>
  <c r="BY11" i="15"/>
  <c r="BU11" i="15"/>
  <c r="BQ11" i="15"/>
  <c r="BM11" i="15"/>
  <c r="BI11" i="15"/>
  <c r="BA11" i="15"/>
  <c r="AW11" i="15"/>
  <c r="AL11" i="15"/>
  <c r="AQ11" i="15" s="1"/>
  <c r="EL10" i="15"/>
  <c r="EN10" i="15" s="1"/>
  <c r="EJ10" i="15"/>
  <c r="DV10" i="15"/>
  <c r="DX10" i="15" s="1"/>
  <c r="DS10" i="15"/>
  <c r="DO10" i="15"/>
  <c r="DK10" i="15"/>
  <c r="DG10" i="15"/>
  <c r="DC10" i="15"/>
  <c r="CY10" i="15"/>
  <c r="CU10" i="15"/>
  <c r="CQ10" i="15"/>
  <c r="CM10" i="15"/>
  <c r="BY10" i="15"/>
  <c r="BU10" i="15"/>
  <c r="BQ10" i="15"/>
  <c r="BM10" i="15"/>
  <c r="BI10" i="15"/>
  <c r="BA10" i="15"/>
  <c r="AW10" i="15"/>
  <c r="AL10" i="15"/>
  <c r="AQ10" i="15" s="1"/>
  <c r="EL9" i="15"/>
  <c r="EN9" i="15" s="1"/>
  <c r="EJ9" i="15"/>
  <c r="DV9" i="15"/>
  <c r="DX9" i="15" s="1"/>
  <c r="DS9" i="15"/>
  <c r="DO9" i="15"/>
  <c r="DK9" i="15"/>
  <c r="DG9" i="15"/>
  <c r="DC9" i="15"/>
  <c r="CY9" i="15"/>
  <c r="CU9" i="15"/>
  <c r="CQ9" i="15"/>
  <c r="CM9" i="15"/>
  <c r="BY9" i="15"/>
  <c r="BU9" i="15"/>
  <c r="BQ9" i="15"/>
  <c r="BM9" i="15"/>
  <c r="BI9" i="15"/>
  <c r="BA9" i="15"/>
  <c r="AW9" i="15"/>
  <c r="AL9" i="15"/>
  <c r="AQ9" i="15" s="1"/>
  <c r="EL8" i="15"/>
  <c r="EN8" i="15" s="1"/>
  <c r="EJ8" i="15"/>
  <c r="DV8" i="15"/>
  <c r="DX8" i="15" s="1"/>
  <c r="DS8" i="15"/>
  <c r="DO8" i="15"/>
  <c r="DK8" i="15"/>
  <c r="DG8" i="15"/>
  <c r="DC8" i="15"/>
  <c r="CY8" i="15"/>
  <c r="CU8" i="15"/>
  <c r="CQ8" i="15"/>
  <c r="CM8" i="15"/>
  <c r="BY8" i="15"/>
  <c r="BU8" i="15"/>
  <c r="BQ8" i="15"/>
  <c r="BM8" i="15"/>
  <c r="BI8" i="15"/>
  <c r="BA8" i="15"/>
  <c r="AW8" i="15"/>
  <c r="AL8" i="15"/>
  <c r="AQ8" i="15" s="1"/>
  <c r="EL7" i="15"/>
  <c r="EN7" i="15" s="1"/>
  <c r="EJ7" i="15"/>
  <c r="DV7" i="15"/>
  <c r="DX7" i="15" s="1"/>
  <c r="DS7" i="15"/>
  <c r="DO7" i="15"/>
  <c r="DK7" i="15"/>
  <c r="DG7" i="15"/>
  <c r="DC7" i="15"/>
  <c r="CY7" i="15"/>
  <c r="CU7" i="15"/>
  <c r="CQ7" i="15"/>
  <c r="CM7" i="15"/>
  <c r="BY7" i="15"/>
  <c r="BU7" i="15"/>
  <c r="BQ7" i="15"/>
  <c r="BM7" i="15"/>
  <c r="BI7" i="15"/>
  <c r="BA7" i="15"/>
  <c r="AW7" i="15"/>
  <c r="AL7" i="15"/>
  <c r="AQ7" i="15" s="1"/>
  <c r="EL6" i="15"/>
  <c r="EN6" i="15" s="1"/>
  <c r="EJ6" i="15"/>
  <c r="DV6" i="15"/>
  <c r="DX6" i="15" s="1"/>
  <c r="DS6" i="15"/>
  <c r="DO6" i="15"/>
  <c r="DK6" i="15"/>
  <c r="DG6" i="15"/>
  <c r="DC6" i="15"/>
  <c r="CY6" i="15"/>
  <c r="CU6" i="15"/>
  <c r="CQ6" i="15"/>
  <c r="CM6" i="15"/>
  <c r="BY6" i="15"/>
  <c r="BU6" i="15"/>
  <c r="BQ6" i="15"/>
  <c r="BM6" i="15"/>
  <c r="BI6" i="15"/>
  <c r="BA6" i="15"/>
  <c r="AW6" i="15"/>
  <c r="AL6" i="15"/>
  <c r="AQ6" i="15" s="1"/>
  <c r="GQ5" i="15"/>
  <c r="GN5" i="15"/>
  <c r="GP5" i="15" s="1"/>
  <c r="GK5" i="15"/>
  <c r="GG5" i="15"/>
  <c r="GC5" i="15"/>
  <c r="FY5" i="15"/>
  <c r="FU5" i="15"/>
  <c r="FQ5" i="15"/>
  <c r="FM5" i="15"/>
  <c r="FF5" i="15"/>
  <c r="FH5" i="15" s="1"/>
  <c r="FD5" i="15"/>
  <c r="EZ5" i="15"/>
  <c r="EV5" i="15"/>
  <c r="EL5" i="15"/>
  <c r="EN5" i="15" s="1"/>
  <c r="EH5" i="15"/>
  <c r="EJ5" i="15" s="1"/>
  <c r="ED5" i="15"/>
  <c r="EF5" i="15" s="1"/>
  <c r="DZ5" i="15"/>
  <c r="EB5" i="15" s="1"/>
  <c r="DV5" i="15"/>
  <c r="DX5" i="15" s="1"/>
  <c r="DS5" i="15"/>
  <c r="DO5" i="15"/>
  <c r="DK5" i="15"/>
  <c r="DG5" i="15"/>
  <c r="DC5" i="15"/>
  <c r="CY5" i="15"/>
  <c r="CU5" i="15"/>
  <c r="CQ5" i="15"/>
  <c r="CL5" i="15"/>
  <c r="CH5" i="15"/>
  <c r="CD5" i="15"/>
  <c r="BY5" i="15"/>
  <c r="BU5" i="15"/>
  <c r="BQ5" i="15"/>
  <c r="BM5" i="15"/>
  <c r="BI5" i="15"/>
  <c r="BE5" i="15"/>
  <c r="BA5" i="15"/>
  <c r="AW5" i="15"/>
  <c r="AL5" i="15"/>
  <c r="AQ5" i="15" s="1"/>
  <c r="AQ18" i="15" l="1"/>
  <c r="AQ17" i="15"/>
  <c r="GR47" i="15"/>
  <c r="FI16" i="15"/>
  <c r="FI11" i="15"/>
  <c r="FI37" i="15"/>
  <c r="FI39" i="15"/>
  <c r="GS48" i="15"/>
  <c r="FI14" i="15"/>
  <c r="FI24" i="15"/>
  <c r="FI27" i="15"/>
  <c r="FI38" i="15"/>
  <c r="FI23" i="15"/>
  <c r="FI19" i="15"/>
  <c r="FI15" i="15"/>
  <c r="FI18" i="15"/>
  <c r="FI21" i="15"/>
  <c r="FI22" i="15"/>
  <c r="FI30" i="15"/>
  <c r="FI31" i="15"/>
  <c r="FI32" i="15"/>
  <c r="FI33" i="15"/>
  <c r="FI34" i="15"/>
  <c r="FI35" i="15"/>
  <c r="FI36" i="15"/>
  <c r="FI12" i="15"/>
  <c r="FI26" i="15"/>
  <c r="DT34" i="15"/>
  <c r="DT35" i="15"/>
  <c r="DT36" i="15"/>
  <c r="FI17" i="15"/>
  <c r="FI7" i="15"/>
  <c r="FI8" i="15"/>
  <c r="DT26" i="15"/>
  <c r="FI28" i="15"/>
  <c r="FI9" i="15"/>
  <c r="FI13" i="15"/>
  <c r="FI20" i="15"/>
  <c r="DT25" i="15"/>
  <c r="FI25" i="15"/>
  <c r="FI10" i="15"/>
  <c r="FI29" i="15"/>
  <c r="DT40" i="15"/>
  <c r="GM40" i="15" s="1"/>
  <c r="DT37" i="15"/>
  <c r="DT42" i="15"/>
  <c r="GM42" i="15" s="1"/>
  <c r="DT38" i="15"/>
  <c r="DT41" i="15"/>
  <c r="GM41" i="15" s="1"/>
  <c r="GS49" i="15"/>
  <c r="GR49" i="15"/>
  <c r="DT39" i="15"/>
  <c r="GQ58" i="15"/>
  <c r="GS58" i="15" s="1"/>
  <c r="GP58" i="15"/>
  <c r="GR58" i="15" s="1"/>
  <c r="BZ34" i="15"/>
  <c r="BZ35" i="15"/>
  <c r="BZ24" i="15"/>
  <c r="BZ36" i="15"/>
  <c r="BZ22" i="15"/>
  <c r="BZ23" i="15"/>
  <c r="BZ25" i="15"/>
  <c r="BZ26" i="15"/>
  <c r="CM5" i="15"/>
  <c r="BZ21" i="15"/>
  <c r="BZ10" i="15"/>
  <c r="BZ17" i="15"/>
  <c r="BZ5" i="15"/>
  <c r="DT16" i="15"/>
  <c r="BZ51" i="15"/>
  <c r="GM51" i="15" s="1"/>
  <c r="BZ8" i="15"/>
  <c r="DT22" i="15"/>
  <c r="BZ12" i="15"/>
  <c r="BZ16" i="15"/>
  <c r="DT19" i="15"/>
  <c r="GL5" i="15"/>
  <c r="BZ15" i="15"/>
  <c r="DT6" i="15"/>
  <c r="BZ9" i="15"/>
  <c r="DT15" i="15"/>
  <c r="BZ6" i="15"/>
  <c r="FI6" i="15"/>
  <c r="DT20" i="15"/>
  <c r="BZ50" i="15"/>
  <c r="GM50" i="15" s="1"/>
  <c r="FI5" i="15"/>
  <c r="BZ13" i="15"/>
  <c r="BZ7" i="15"/>
  <c r="BZ11" i="15"/>
  <c r="DT5" i="15"/>
  <c r="DT11" i="15"/>
  <c r="BZ18" i="15"/>
  <c r="DT7" i="15"/>
  <c r="DT10" i="15"/>
  <c r="DT13" i="15"/>
  <c r="DT9" i="15"/>
  <c r="DT12" i="15"/>
  <c r="DT8" i="15"/>
  <c r="DT14" i="15"/>
  <c r="GM43" i="15" l="1"/>
  <c r="GR43" i="15" s="1"/>
  <c r="GM37" i="15"/>
  <c r="GS37" i="15" s="1"/>
  <c r="GM25" i="15"/>
  <c r="GS25" i="15" s="1"/>
  <c r="GM39" i="15"/>
  <c r="GS39" i="15" s="1"/>
  <c r="GM38" i="15"/>
  <c r="GS38" i="15" s="1"/>
  <c r="GM33" i="15"/>
  <c r="GS33" i="15" s="1"/>
  <c r="GM27" i="15"/>
  <c r="GR27" i="15" s="1"/>
  <c r="GM19" i="15"/>
  <c r="GR19" i="15" s="1"/>
  <c r="GM14" i="15"/>
  <c r="GR14" i="15" s="1"/>
  <c r="GM20" i="15"/>
  <c r="GS20" i="15" s="1"/>
  <c r="GM30" i="15"/>
  <c r="GS30" i="15" s="1"/>
  <c r="GM36" i="15"/>
  <c r="GR36" i="15" s="1"/>
  <c r="GM34" i="15"/>
  <c r="GR34" i="15" s="1"/>
  <c r="GM31" i="15"/>
  <c r="GR31" i="15" s="1"/>
  <c r="GM24" i="15"/>
  <c r="GS24" i="15" s="1"/>
  <c r="GM46" i="15"/>
  <c r="GS46" i="15" s="1"/>
  <c r="GM45" i="15"/>
  <c r="GS45" i="15" s="1"/>
  <c r="GM26" i="15"/>
  <c r="GR26" i="15" s="1"/>
  <c r="GM35" i="15"/>
  <c r="GR35" i="15" s="1"/>
  <c r="GM32" i="15"/>
  <c r="GR32" i="15" s="1"/>
  <c r="GM23" i="15"/>
  <c r="GM9" i="15"/>
  <c r="GM12" i="15"/>
  <c r="GM21" i="15"/>
  <c r="GM28" i="15"/>
  <c r="GM17" i="15"/>
  <c r="GM16" i="15"/>
  <c r="GM29" i="15"/>
  <c r="GM11" i="15"/>
  <c r="GM22" i="15"/>
  <c r="GM7" i="15"/>
  <c r="GM15" i="15"/>
  <c r="GM8" i="15"/>
  <c r="GM44" i="15"/>
  <c r="GS44" i="15" s="1"/>
  <c r="GM10" i="15"/>
  <c r="GM18" i="15"/>
  <c r="GM13" i="15"/>
  <c r="GM6" i="15"/>
  <c r="GS41" i="15"/>
  <c r="GR41" i="15"/>
  <c r="GR42" i="15"/>
  <c r="GS42" i="15"/>
  <c r="GS40" i="15"/>
  <c r="GR40" i="15"/>
  <c r="GS50" i="15"/>
  <c r="GR50" i="15"/>
  <c r="GS51" i="15"/>
  <c r="GR51" i="15"/>
  <c r="GM5" i="15"/>
  <c r="GS5" i="15" s="1"/>
  <c r="GR25" i="15" l="1"/>
  <c r="GR37" i="15"/>
  <c r="GS43" i="15"/>
  <c r="GR38" i="15"/>
  <c r="GR33" i="15"/>
  <c r="GS27" i="15"/>
  <c r="GR39" i="15"/>
  <c r="GR46" i="15"/>
  <c r="GR24" i="15"/>
  <c r="GS31" i="15"/>
  <c r="GS34" i="15"/>
  <c r="GR30" i="15"/>
  <c r="GS19" i="15"/>
  <c r="GR45" i="15"/>
  <c r="GS14" i="15"/>
  <c r="GR20" i="15"/>
  <c r="GS36" i="15"/>
  <c r="GS35" i="15"/>
  <c r="GS32" i="15"/>
  <c r="GS26" i="15"/>
  <c r="GS6" i="15"/>
  <c r="GR6" i="15"/>
  <c r="GS11" i="15"/>
  <c r="GR11" i="15"/>
  <c r="GS23" i="15"/>
  <c r="GR23" i="15"/>
  <c r="GS8" i="15"/>
  <c r="GR8" i="15"/>
  <c r="GS28" i="15"/>
  <c r="GR28" i="15"/>
  <c r="GS10" i="15"/>
  <c r="GR10" i="15"/>
  <c r="GR15" i="15"/>
  <c r="GS15" i="15"/>
  <c r="GS17" i="15"/>
  <c r="GR17" i="15"/>
  <c r="GS21" i="15"/>
  <c r="GR21" i="15"/>
  <c r="GS7" i="15"/>
  <c r="GR7" i="15"/>
  <c r="GS12" i="15"/>
  <c r="GR12" i="15"/>
  <c r="GS22" i="15"/>
  <c r="GR22" i="15"/>
  <c r="GS9" i="15"/>
  <c r="GR9" i="15"/>
  <c r="GS16" i="15"/>
  <c r="GR16" i="15"/>
  <c r="GR13" i="15"/>
  <c r="GS13" i="15"/>
  <c r="GS18" i="15"/>
  <c r="GR18" i="15"/>
  <c r="GR44" i="15"/>
  <c r="GS29" i="15"/>
  <c r="GR29" i="15"/>
  <c r="GR5" i="15"/>
</calcChain>
</file>

<file path=xl/comments1.xml><?xml version="1.0" encoding="utf-8"?>
<comments xmlns="http://schemas.openxmlformats.org/spreadsheetml/2006/main">
  <authors>
    <author>sdfv dapv minae</author>
  </authors>
  <commentList>
    <comment ref="AH43" authorId="0" shapeId="0">
      <text>
        <r>
          <rPr>
            <b/>
            <sz val="9"/>
            <color indexed="81"/>
            <rFont val="Tahoma"/>
            <family val="2"/>
          </rPr>
          <t>sdfv dapv minae:</t>
        </r>
        <r>
          <rPr>
            <sz val="9"/>
            <color indexed="81"/>
            <rFont val="Tahoma"/>
            <family val="2"/>
          </rPr>
          <t xml:space="preserve">
DOLOMIE PEUT ALLER JUSQU A 1t / HA</t>
        </r>
      </text>
    </comment>
    <comment ref="R47" authorId="0" shapeId="0">
      <text>
        <r>
          <rPr>
            <b/>
            <sz val="9"/>
            <color indexed="81"/>
            <rFont val="Tahoma"/>
            <family val="2"/>
          </rPr>
          <t>sdfv dapv minae:</t>
        </r>
        <r>
          <rPr>
            <sz val="9"/>
            <color indexed="81"/>
            <rFont val="Tahoma"/>
            <family val="2"/>
          </rPr>
          <t xml:space="preserve">
30.000 à 40.000 boutures à l'hectare.  1 bouture pèse dans les 50 g
</t>
        </r>
      </text>
    </comment>
    <comment ref="Y47" authorId="0" shapeId="0">
      <text>
        <r>
          <rPr>
            <b/>
            <sz val="9"/>
            <color indexed="81"/>
            <rFont val="Tahoma"/>
            <family val="2"/>
          </rPr>
          <t>sdfv dapv minae:</t>
        </r>
        <r>
          <rPr>
            <sz val="9"/>
            <color indexed="81"/>
            <rFont val="Tahoma"/>
            <family val="2"/>
          </rPr>
          <t xml:space="preserve">
en conditions optimales avec irrigation et fertilisation</t>
        </r>
      </text>
    </comment>
    <comment ref="R48" authorId="0" shapeId="0">
      <text>
        <r>
          <rPr>
            <b/>
            <sz val="9"/>
            <color indexed="81"/>
            <rFont val="Tahoma"/>
            <family val="2"/>
          </rPr>
          <t>sdfv dapv minae:</t>
        </r>
        <r>
          <rPr>
            <sz val="9"/>
            <color indexed="81"/>
            <rFont val="Tahoma"/>
            <family val="2"/>
          </rPr>
          <t xml:space="preserve">
30.000 à 40.000 boutures à l'hectare. </t>
        </r>
      </text>
    </comment>
    <comment ref="Y48" authorId="0" shapeId="0">
      <text>
        <r>
          <rPr>
            <b/>
            <sz val="9"/>
            <color indexed="81"/>
            <rFont val="Tahoma"/>
            <family val="2"/>
          </rPr>
          <t>sdfv dapv minae:</t>
        </r>
        <r>
          <rPr>
            <sz val="9"/>
            <color indexed="81"/>
            <rFont val="Tahoma"/>
            <family val="2"/>
          </rPr>
          <t xml:space="preserve">
en conditions optimales avec irrigation et fertilisation</t>
        </r>
      </text>
    </comment>
    <comment ref="R49" authorId="0" shapeId="0">
      <text>
        <r>
          <rPr>
            <b/>
            <sz val="9"/>
            <color indexed="81"/>
            <rFont val="Tahoma"/>
            <family val="2"/>
          </rPr>
          <t>sdfv dapv minae:</t>
        </r>
        <r>
          <rPr>
            <sz val="9"/>
            <color indexed="81"/>
            <rFont val="Tahoma"/>
            <family val="2"/>
          </rPr>
          <t xml:space="preserve">
30.000 à 40.000 boutures à l'hectare. </t>
        </r>
      </text>
    </comment>
    <comment ref="Y49" authorId="0" shapeId="0">
      <text>
        <r>
          <rPr>
            <b/>
            <sz val="9"/>
            <color indexed="81"/>
            <rFont val="Tahoma"/>
            <family val="2"/>
          </rPr>
          <t>sdfv dapv minae:</t>
        </r>
        <r>
          <rPr>
            <sz val="9"/>
            <color indexed="81"/>
            <rFont val="Tahoma"/>
            <family val="2"/>
          </rPr>
          <t xml:space="preserve">
en conditions optimales avec irrigation et fertilisation</t>
        </r>
      </text>
    </comment>
    <comment ref="R50" authorId="0" shapeId="0">
      <text>
        <r>
          <rPr>
            <b/>
            <sz val="9"/>
            <color indexed="81"/>
            <rFont val="Tahoma"/>
            <family val="2"/>
          </rPr>
          <t>sdfv dapv minae:</t>
        </r>
        <r>
          <rPr>
            <sz val="9"/>
            <color indexed="81"/>
            <rFont val="Tahoma"/>
            <family val="2"/>
          </rPr>
          <t xml:space="preserve">
30.000 à 40.000 boutures à l'hectare. </t>
        </r>
      </text>
    </comment>
    <comment ref="Y50" authorId="0" shapeId="0">
      <text>
        <r>
          <rPr>
            <b/>
            <sz val="9"/>
            <color indexed="81"/>
            <rFont val="Tahoma"/>
            <family val="2"/>
          </rPr>
          <t>sdfv dapv minae:</t>
        </r>
        <r>
          <rPr>
            <sz val="9"/>
            <color indexed="81"/>
            <rFont val="Tahoma"/>
            <family val="2"/>
          </rPr>
          <t xml:space="preserve">
en conditions optimales avec irrigation et fertilisation</t>
        </r>
      </text>
    </comment>
    <comment ref="R51" authorId="0" shapeId="0">
      <text>
        <r>
          <rPr>
            <b/>
            <sz val="9"/>
            <color indexed="81"/>
            <rFont val="Tahoma"/>
            <family val="2"/>
          </rPr>
          <t>sdfv dapv minae:</t>
        </r>
        <r>
          <rPr>
            <sz val="9"/>
            <color indexed="81"/>
            <rFont val="Tahoma"/>
            <family val="2"/>
          </rPr>
          <t xml:space="preserve">
30.000 à 40.000 boutures à l'hectare. </t>
        </r>
      </text>
    </comment>
    <comment ref="Y51" authorId="0" shapeId="0">
      <text>
        <r>
          <rPr>
            <b/>
            <sz val="9"/>
            <color indexed="81"/>
            <rFont val="Tahoma"/>
            <family val="2"/>
          </rPr>
          <t>sdfv dapv minae:</t>
        </r>
        <r>
          <rPr>
            <sz val="9"/>
            <color indexed="81"/>
            <rFont val="Tahoma"/>
            <family val="2"/>
          </rPr>
          <t xml:space="preserve">
en conditions optimales avec irrigation et fertilisation</t>
        </r>
      </text>
    </comment>
    <comment ref="T66" authorId="0" shapeId="0">
      <text>
        <r>
          <rPr>
            <b/>
            <sz val="9"/>
            <color indexed="81"/>
            <rFont val="Tahoma"/>
            <family val="2"/>
          </rPr>
          <t>sdfv dapv minae:</t>
        </r>
        <r>
          <rPr>
            <sz val="9"/>
            <color indexed="81"/>
            <rFont val="Tahoma"/>
            <family val="2"/>
          </rPr>
          <t xml:space="preserve">
50 Ar par unité</t>
        </r>
      </text>
    </comment>
    <comment ref="R73" authorId="0" shapeId="0">
      <text>
        <r>
          <rPr>
            <b/>
            <sz val="9"/>
            <color indexed="81"/>
            <rFont val="Tahoma"/>
            <family val="2"/>
          </rPr>
          <t>sdfv dapv minae:</t>
        </r>
        <r>
          <rPr>
            <sz val="9"/>
            <color indexed="81"/>
            <rFont val="Tahoma"/>
            <family val="2"/>
          </rPr>
          <t xml:space="preserve">
UNITE</t>
        </r>
      </text>
    </comment>
  </commentList>
</comments>
</file>

<file path=xl/sharedStrings.xml><?xml version="1.0" encoding="utf-8"?>
<sst xmlns="http://schemas.openxmlformats.org/spreadsheetml/2006/main" count="6250" uniqueCount="2033">
  <si>
    <t>Genre</t>
  </si>
  <si>
    <t>Remarques</t>
  </si>
  <si>
    <t xml:space="preserve">Meva </t>
  </si>
  <si>
    <t>Zea</t>
  </si>
  <si>
    <t>moyenne (800 m) et haute altitude (&gt; 1000 m)</t>
  </si>
  <si>
    <t>IRAT 200</t>
  </si>
  <si>
    <t xml:space="preserve">Rastà </t>
  </si>
  <si>
    <t>adaptés dans les zones à condition arides comme la partie sud de Madagascar</t>
  </si>
  <si>
    <t>IRAT 204</t>
  </si>
  <si>
    <t xml:space="preserve">adaptés à la secheresse </t>
  </si>
  <si>
    <t>Le sorgho est très fragile jusqu’au stade 5 à 6 feuilles. Le sarclage est impératif dans les 15 jours après la levée pour éviter la concurrence des mauvaises herbes..</t>
  </si>
  <si>
    <t>climat tropical humide</t>
  </si>
  <si>
    <t xml:space="preserve">Mailaka </t>
  </si>
  <si>
    <t>adaptée à la culture en saison froide.</t>
  </si>
  <si>
    <t>Sorghum bicolor lin.moench</t>
  </si>
  <si>
    <t xml:space="preserve">Zea mays </t>
  </si>
  <si>
    <t xml:space="preserve">Annuelle </t>
  </si>
  <si>
    <t>Sorghum</t>
  </si>
  <si>
    <t xml:space="preserve">Désherbage; apport d’engrais complémentaires: compost ou fumier; contrôle des maladies et des insectes </t>
  </si>
  <si>
    <t xml:space="preserve">Environ 1000m </t>
  </si>
  <si>
    <t>kg</t>
  </si>
  <si>
    <t>Apium</t>
  </si>
  <si>
    <t>Le céléri est une plante de la famille des Apiacées, largement cultivé pour ses tiges et son feuillage parfumé. Originaire de la région méditerranéenne, il peut atteindre une hauteur de 20 à 50cm de hauteur. Il est riche en vitamines A,C et K et en minéraux comme le potassium et le calcium.</t>
  </si>
  <si>
    <t>Sol drainé et riche en matières organiques et minérales ( magnésium et bore),Ph= 6 à 6,8 , sensible aux calcaires. Amender le sol avant la culture.</t>
  </si>
  <si>
    <t>Climat chaud et humide</t>
  </si>
  <si>
    <t>Petroselinum</t>
  </si>
  <si>
    <t xml:space="preserve">Le persil est une plante herbacée aromatique de la famille des Apiacées pouvant atteindre  20 à 30cm de hauteur.  Il présente des feuilles frisées denses. C'est une plante à croissance rapide. Il développe des tiges solides, un feuillage dense et des fleurs jaunes. Il est couramment utilisé en cuisine pour ses feuilles. Le persil est riche en vitamines et en antioxydants. Il est couramment utilisé pour parfumer les plats. </t>
  </si>
  <si>
    <t xml:space="preserve"> Terres d'alluvions, humides et riche en humus, PH= 5,5 à 6,8, Eviter le sol argileux,sols acides et sols caillouteux .</t>
  </si>
  <si>
    <t>Coriandrum</t>
  </si>
  <si>
    <t>Coriandre</t>
  </si>
  <si>
    <t>Coriandre locale</t>
  </si>
  <si>
    <t>Kotomila</t>
  </si>
  <si>
    <t>La coriandre est une plante aromatique  de la famille des Apiacée et originaire d'Asie. Elle est cultivée pour ses feuilles et ses graines qui sont utilisées tant en cuisine qu'en médecine traditionnelle. La coriandre peut atteindre une hauteur de 30 à 40cm avec des tiges fines et des feuilles délicates et dentées. Elle est facile à cultiver, et peut être en pot ou en pleine terre.</t>
  </si>
  <si>
    <t>Principalement dans les Hauts Plateaux. Adaptations dans toute l'île</t>
  </si>
  <si>
    <t xml:space="preserve">Sol calcaire  (de préférence), humidité 60%, bon ensoleillement, adaptation aux différents types de sol , PH=6,5 -7,5 </t>
  </si>
  <si>
    <t>Allium</t>
  </si>
  <si>
    <t>Pas d'exigence universelle</t>
  </si>
  <si>
    <t>Brassica</t>
  </si>
  <si>
    <t>15 à 20 °C</t>
  </si>
  <si>
    <t>Musa</t>
  </si>
  <si>
    <t>Sol riche, bien drainé,  riche en matière organique et pH 5,5- 7,5</t>
  </si>
  <si>
    <t>20 - 30°C</t>
  </si>
  <si>
    <t>Plantation toute l'année en climat favorable, avec une préférence pour le début de la saison des pluies pour assurer une bonne reprise.</t>
  </si>
  <si>
    <t>1 700 - 2 200 plants/ ha, avec un espacement de 2m x 2,5 m.</t>
  </si>
  <si>
    <t>Climat tropical humide</t>
  </si>
  <si>
    <t>Annuelle</t>
  </si>
  <si>
    <t>tropical ou semi-aride, résistant à la sécheresse.</t>
  </si>
  <si>
    <t>Contrôle des mauvaises herbes; Irrigation (si nécessaire); Fertilisation supplémentaire; Protection contre les ravageurs et les maladies, identifications des carences de la plante</t>
  </si>
  <si>
    <t>entre 0 et 1 500 m</t>
  </si>
  <si>
    <t>adapté aux zones chaudes et sèches</t>
  </si>
  <si>
    <t>Désherbage régulier; irrigation modérée; fertilisation complémentaire selon les besoins; surveillance des maladies et des ravageurs; éclaircissage pour maintenir une densité de plantation optimale; suivi de la croissance et des signes de stress; protection contre les intempéries (pluies excessives, vent); surveillance de la maturité pour la récolte</t>
  </si>
  <si>
    <t>Oryza</t>
  </si>
  <si>
    <t>Oryza Sativa</t>
  </si>
  <si>
    <t>Plus cultivée autour du Lac Alaotra; sol argileux et limoneux; un pH compris entre 5,5 et 6,5 est optimal</t>
  </si>
  <si>
    <t xml:space="preserve">Oryza Sativa </t>
  </si>
  <si>
    <t>Tsipala 1888</t>
  </si>
  <si>
    <t>Plus cultivée dans la région Boeny; sols argileux et lourds; un pH entre 5,5 et 7, est recommandé</t>
  </si>
  <si>
    <t>Entre 25°C et 30°C</t>
  </si>
  <si>
    <t>Région Alaotra Mangoro; régions de rizières de la plaine côtière; un pH allant de 5,0 à 5,5</t>
  </si>
  <si>
    <t>Daucus</t>
  </si>
  <si>
    <t>Bisanuelle</t>
  </si>
  <si>
    <t>10-20°C</t>
  </si>
  <si>
    <t xml:space="preserve">Climat frais </t>
  </si>
  <si>
    <t xml:space="preserve">Semences certifiées: 3kg/ha </t>
  </si>
  <si>
    <t>Se baser sur le calibre constaté sous le niveau du collet la longueur du cylce cultural, effectuer la récolte en sol humide, soulever à la fourche et tirer sur le feuillage, arroser les plants restés en place après chaque passage</t>
  </si>
  <si>
    <t>Faire plusieurs passages de labour de profondeur de 30 à 50cm, terminer avec un labour superficiel de 20 -25cm avant semis, ameublir par hersage, profiler le terrain en billon ou en planches surélevées de largeur 1,20m avec un espacement de 50cm, aplanir les planches avec un rateau</t>
  </si>
  <si>
    <t>Alternariose (brumissement et noircissement des feuilles tombantes): éviter la culture en saison pluvieuse, éviter d'irriger le soir,  prévenir avec de mancozèbe en période de risque à arrêter 1 mois avant la récolte</t>
  </si>
  <si>
    <t>Cailloux (carotte ramifiée et fourchue): effectuer l'épierrage avant le semis et la plantation  ;Nematodes (déformation et boursouflures des aspects cloqués): nettoyer les matériels utilisés, faire attention aux semences utilisées et les plants qui peuvent être contaminés, apport d'amendement  organique (fumier)  préalable ( avant la culture qui précède la culture de carotte)</t>
  </si>
  <si>
    <t>Semis conseillé: Mars - Juin             Semis normal: Juin- Août                      Semis direct de profondeur 1cm avec un espacement de 15-20cm entre lignes</t>
  </si>
  <si>
    <t>Rouge de Tana</t>
  </si>
  <si>
    <t>10-18°C</t>
  </si>
  <si>
    <t xml:space="preserve">Irrigation régulière </t>
  </si>
  <si>
    <t>Oignon de Tamatave</t>
  </si>
  <si>
    <t>Ail blanc</t>
  </si>
  <si>
    <t>Sol argilo-silicieux ou argilo-calcaires qui n'a pas reçus d'engrais, non caillouteux avec un ph=5,5 à 6,5</t>
  </si>
  <si>
    <t>Germination: 17 à 18°C         Tubérisation: 20°C</t>
  </si>
  <si>
    <t xml:space="preserve"> Mai-Juin</t>
  </si>
  <si>
    <t xml:space="preserve">Zea </t>
  </si>
  <si>
    <t xml:space="preserve">climat à précipitation abondante(humide) mais adapté aussi au climat chaud </t>
  </si>
  <si>
    <t>Bakoly</t>
  </si>
  <si>
    <t>Volasoa</t>
  </si>
  <si>
    <t xml:space="preserve">Phaseolus </t>
  </si>
  <si>
    <t>Chou de chine</t>
  </si>
  <si>
    <t>Ramirebaka</t>
  </si>
  <si>
    <t xml:space="preserve">A </t>
  </si>
  <si>
    <t>Sol limoneux ou sablo-limoneux, sol bien drainé et non ombragé ph=6,5-7,5</t>
  </si>
  <si>
    <t>Nasturtium</t>
  </si>
  <si>
    <t>Brède Morelle</t>
  </si>
  <si>
    <t>A</t>
  </si>
  <si>
    <t>Climate chaud et humide</t>
  </si>
  <si>
    <t xml:space="preserve"> Ipomea</t>
  </si>
  <si>
    <t>Zingiber officinale</t>
  </si>
  <si>
    <t>Zingiber</t>
  </si>
  <si>
    <t xml:space="preserve">Le gingembre est une plante de la famille des Zingiberaceae originaire d’Asie du Sud-Est, connue et utilisée depuis plusieurs millénaires aussi bien dans la cuisine que pour ses vertus thérapeutiques. </t>
  </si>
  <si>
    <t>Curcuma</t>
  </si>
  <si>
    <t>Curcuma longa</t>
  </si>
  <si>
    <t xml:space="preserve">Solanum </t>
  </si>
  <si>
    <t>une distance de 0,9 m à 1,2 m</t>
  </si>
  <si>
    <t>Chenille noirâtre
(Agrostis Sp) - Vit dans le sol pendant le jour, sort la nuit pour sectionner les tiges au ras du sol.
Lutte : traitement du sol avant la plantation.
Coccinelle grise
(Solanaphila panovia) - Les épidermes de la feuille sont dévorés, seules les nervures subsistent.
Lutte : ramassage manuel des adultes.
Pandalapsis cyanescens - Larves blanches jaunâtres qui minent les fruits.</t>
  </si>
  <si>
    <t>Oryza sativa</t>
  </si>
  <si>
    <t>Inférieur à 30°C</t>
  </si>
  <si>
    <t>Phaseolus</t>
  </si>
  <si>
    <t>Poireau</t>
  </si>
  <si>
    <t>climat chaud et humide</t>
  </si>
  <si>
    <t xml:space="preserve">Mangetout </t>
  </si>
  <si>
    <t>Sol léger bien drainant, sol ameubli et riches en matières organiques bien décomposés</t>
  </si>
  <si>
    <t>15 à 20°C</t>
  </si>
  <si>
    <t>Makalioka 34 (MK 34)</t>
  </si>
  <si>
    <t>Germination : au moins 10°C
Au cours de sa végétation : entre 20 à 30°C</t>
  </si>
  <si>
    <t>Besoin mensuelle de 100mm d'eau durant toute la période de sa végétation : 1000-1200 mm</t>
  </si>
  <si>
    <t>Besoin mensuelle de 100mm d'eau durant toute la période de sa végétation : 900-1000 mm</t>
  </si>
  <si>
    <t>Besoin mensuelle de 100mm d'eau durant toute la période de sa végétation : 1200 mm</t>
  </si>
  <si>
    <t xml:space="preserve">Arrivée des premières pluies: Entre Novembre et Février
La référence au calendrier cultural régional est indispensable
</t>
  </si>
  <si>
    <t>10 à 20T/ha de fumier bien décomposé à enfouir (bien mélanger) au moment du labour</t>
  </si>
  <si>
    <t>Semis en ligne, espacées de 70 à 80 cm, en poquets de 2 grains distants de 40 cm</t>
  </si>
  <si>
    <t>Le début de la récolte se fait lorsque les spathes de l'épi ont jauni et que les feuilles et les tiges sont en voie de dessèchement, les graines de maïs ne doivent plus pouvoir se rayer aux ongles, 90-100 jours après semis</t>
  </si>
  <si>
    <t>Le début de la récolte se fait lorsque les spathes de l'épi ont jauni et que les feuilles et les tiges sont en voie de dessèchement, les graines de maïs ne doivent plus pouvoir se rayer aux ongles, 120 jours jours après semis</t>
  </si>
  <si>
    <t>Le début de la récolte se fait lorsque les spathes de l'épi ont jauni et que les feuilles et les tiges sont en voie de dessèchement, les graines de maïs ne doivent plus pouvoir se rayer aux ongles, 105-120 jours après semis</t>
  </si>
  <si>
    <t>Le début de la récolte se fait lorsque les spathes de l'épi ont jauni et que les feuilles et les tiges sont en voie de dessèchement, les graines de maïs ne doivent plus pouvoir se rayer aux ongles, 120-150 jours après semis</t>
  </si>
  <si>
    <t>Germination : au moins 10°C
Au cours de sa végétation : entre 15 à 25°C</t>
  </si>
  <si>
    <t xml:space="preserve">,- adapté à plusieurs type de sol, 
,-  Profonds, meubles, frais, assez légers, fertiles, humifères pour éviter les risques de tassement et d'engagement permanent en eau asphyxiant les racines. 
,- Sols alluvionnaires de baiboho ou issus d'un volcanisme récent qui contiennent des éléments minéraux et de la matière organique 
,-  sols de pente &lt; 12% pour éviter les risques d'érosion
,-surtout sud et sud ouest  de Madagascar
</t>
  </si>
  <si>
    <t xml:space="preserve">,- adapté à plusieurs type de sol, 
,-  Profonds, meubles, frais, assez légers, fertiles, humifères pour éviter les risques de tassement et d'engagement permanent en eau asphyxiant les racines. 
,- Sols alluvionnaires de baiboho ou issus d'un volcanisme récent qui contiennent des éléments minéraux et de la matière organique 
,-  sols de pente &lt; 12% pour éviter les risques d'érosion 
,- ouest de Madagascar,
</t>
  </si>
  <si>
    <t>,- adapté à plusieurs type de sol, 
,-  Profonds, meubles, frais, assez légers, fertiles, humifères pour éviter les risques de tassement et d'engagement permanent en eau asphyxiant les racines. 
,- Sols alluvionnaires de baiboho ou issus d'un volcanisme récent qui contiennent des éléments minéraux et de la matière organique 
,-  sols de pente &lt; 12% pour éviter les risques d'érosion  
,- Sol pas trop acide
,- moyen-ouest de Madagascar</t>
  </si>
  <si>
    <t xml:space="preserve">,- adapté à plusieurs type de sol, 
,-  Profonds, meubles, frais, assez légers, fertiles, humifères pour éviter les risques de tassement et d'engagement permanent en eau asphyxiant les racines. 
,- Sols alluvionnaires de baiboho ou issus d'un volcanisme récent qui contiennent des éléments minéraux et de la matière organique 
,-  sols de pente &lt; 12% pour éviter les risques d'érosion  
,- tolérante à l'acidité du sol
,- Hautes terres malgaches, Moyen-Ouest et Lac Alaotra </t>
  </si>
  <si>
    <t>L</t>
  </si>
  <si>
    <t>Hj</t>
  </si>
  <si>
    <t>Kg</t>
  </si>
  <si>
    <t>T</t>
  </si>
  <si>
    <t xml:space="preserve">Graine </t>
  </si>
  <si>
    <t xml:space="preserve">Sol pauvre : 70cm  x 25cm 
Sol fertile : 80cm x  50cm </t>
  </si>
  <si>
    <t xml:space="preserve">Fumure de fond  :Fumure organique (compost, matière organique bien décomposée) avec une dose d’au moins 5 T/ha
</t>
  </si>
  <si>
    <t>Température de germination : 10°C–15°C
Température optimum pendant la croissance développement : 25°C–35°C peut supporter jusqu'à environ 40°C</t>
  </si>
  <si>
    <t>pce</t>
  </si>
  <si>
    <t>Brassica oleracea capitata</t>
  </si>
  <si>
    <t xml:space="preserve">Chou pommé ou Chou vert </t>
  </si>
  <si>
    <t>Les zones de moyenne et de haute altitude de plus de 600 m lui conviendront mieux. La culture de choux peut être pratiquée dans les zones basses en saison sèche.</t>
  </si>
  <si>
    <t>semis en ligne espacée de 15 cm, 1 à 2 cm d'écartement sur la ligne et 1 cm de profondeur</t>
  </si>
  <si>
    <t>600 g à 1kg par Ha</t>
  </si>
  <si>
    <t xml:space="preserve">60 à 105 jours après le semis
2,5 mois après le repiquage en moyenne, lorsque la pomme est formée et 
bien dure au fur et à mesure du développement des choux. </t>
  </si>
  <si>
    <t>HJ</t>
  </si>
  <si>
    <t>Daucus carota</t>
  </si>
  <si>
    <t>Nantaise , Variété demi- longue ou Botry</t>
  </si>
  <si>
    <t>Chantenay, Variété longue ou Lava</t>
  </si>
  <si>
    <t>Il faut des sols légers plutôt sableux et riches en humus, exempt de pierre ou souches pour éviter les racines fourchues ou déformées, 
-Sols souples, homogènes, profonds gardant la fraîcheur et permettant  d’obtenir une structre suffisamment stable
- Sols sans apport récent de matières organiques
- Eviter sols argileux peu draînant</t>
  </si>
  <si>
    <t xml:space="preserve">Pas d'exigence  </t>
  </si>
  <si>
    <t xml:space="preserve">semis en lignes (petits sillons) espacés de 20 cm </t>
  </si>
  <si>
    <t xml:space="preserve">semis en lignes (petits sillons) espacés de 25 cm </t>
  </si>
  <si>
    <t xml:space="preserve"> Fumure organique bien décomposée ou compost à raison de 40 T/ha (laisser reposer 1 mois 
avant plantation  PS: Pas de fumure fraîche surtout pas de fumier pailleux </t>
  </si>
  <si>
    <t>Allium cepa</t>
  </si>
  <si>
    <t xml:space="preserve">lignes distantes de 20 - 
35 cm et éclaircissement des plants à 7 - 10 cm </t>
  </si>
  <si>
    <t xml:space="preserve"> Le semis direct peut être effectué à condition de disposer d'assez de semences et d'avoir un 
sol lourd mais grumeleux et de bien maîtriser les mauvaises herbes
Sinon, le semis est effectué en pépinière en début de saison sèche : Février à Mai</t>
  </si>
  <si>
    <t>Semences certifiées: 13,5kg/ha de semencessi semi direct, 2Kg de semences/ha si transplantation (pépinière de 300m2)</t>
  </si>
  <si>
    <t xml:space="preserve"> La recolte se fait au stade de 80% de tombaison  </t>
  </si>
  <si>
    <t xml:space="preserve"> Labourer le sol, 1 mois avant la transplantation à une profondeur de 30cm.- Bien affiner la surface du sol 
Apporter du fumier bien décomposé : 10-20T/Ha </t>
  </si>
  <si>
    <t>Saison de pluie: Novembre-Janvier ou Contre saison: Juin- Juillet</t>
  </si>
  <si>
    <t>Epandage de fumier avant labour
Labour : 20-25cm de profondeur
Bien enfouir les fumiers
Emottage à l’angady</t>
  </si>
  <si>
    <t>15-20 T de fumier de ferme/ha à enfouir lors du labour un mois avant semis</t>
  </si>
  <si>
    <t>KG</t>
  </si>
  <si>
    <t xml:space="preserve">
Sol pauvre : 70cm  x 25cm 
Sol fertile : 80cm x  50cm </t>
  </si>
  <si>
    <t>Sélectionner des semences certifiées : pures et saines.
S’approvisionner au niveau des boutiques d’intrants agricoles, GPS, PMS et CMS
Sol pauvre 4-6 Kg par Ha
Sol fertile : 1,6-3Kg par Ha</t>
  </si>
  <si>
    <t>Mars : cycle court et Mai : cycle long
La maturité des grains est reconnue par l’apparition d’un point noir àa la base du grain en bas de la panicule. Le grain est dur et ne peut pas être écrasé à la main et ou être rayé à l’ongle.</t>
  </si>
  <si>
    <t>Fumure de fond 
NPK (11-22-16)  : 100 Kg/ha
Fumure d’entretien
Urée : dose : 50 kg/ha 
période : 40 à 45 jours après levée (Appliquer sur sol humide).</t>
  </si>
  <si>
    <t xml:space="preserve">La variété de sorgho « Miaritse » est une sélection locale développée par le CTAS (Centre Technique Agroécologique du Sud) pour répondre aux conditions climatiques difficiles du sud de Madagascar, notamment dans les régions d’Androy et d’Atsimo Andrefana. ￼
Sorgho rouge
Résistante au vent et à la sècheresse
Moins sensible aux attaques d’insectes
 Utilisation : Alimentation humaine (bouillies, galettes), alimentation animale (fourrage)
</t>
  </si>
  <si>
    <t>Hautes terres : Février à Avril
Zones cotières : Août-Septembre</t>
  </si>
  <si>
    <t xml:space="preserve">Semis conseillé: Mars - Juin             
Semis normal: Juin- Août                     </t>
  </si>
  <si>
    <t xml:space="preserve"> Épandage de fumier bien décomposé à la dose de 50 T/ha avant labour</t>
  </si>
  <si>
    <t>Apport de NPK 15-15- de 400 kg/ha lors de l'émottage et l'affinage
20 jours après repiquage, épandre 200 kg par ha d'urée</t>
  </si>
  <si>
    <t>Éclaircissage : à effectuer 1 mois après le semis et après une pluie ou un arrosage, à 5 ou 10 cm suivant les variétés, élimine aussi les pousses chétives. 
Un arrosage est recommandé après la réalisation de l'éclaircissage 
- Binage et sarclage autant de fois qu'il le faut : 
¢ Très tôt après levée car la carotte, couvrant peu le sol, se défend mal contre les mauvaises herbes
 ¢ Toujours après une pluie pour aérer 
¢ Et pour éviter toute herbe</t>
  </si>
  <si>
    <t>Pendant la préparation du sol: 200-800 kg de NPK (11-22-16) + 200kg de sulfate de potasse par hectare</t>
  </si>
  <si>
    <t xml:space="preserve">L'oignon est une plante  de la famille des Amaryllidacées , Originaire d'Asie . Cette plante présente une tige courte, souvent réduite à la base du bulbe, qui se développe davantage lors de la floraison, formant une hampe florale pouvant atteindre 30 à 50cm de hauteur. Le bulbe est l'organe principal de la plante; il est constitué de couches concentriques de feuilles de diamètres variant de 5 à 10cm avec un poids allant de 100 à 300g. </t>
  </si>
  <si>
    <t>PCE</t>
  </si>
  <si>
    <t>Fumure de redressement : Dolomie : 1,5-2T/Ha
Fumure d'entretien : 200Kg de NPK/ha</t>
  </si>
  <si>
    <t>Le haricot est une légumineuse alimentaire : soit, sous forme de haricot vert, haricot demi- sec ou haricot sec. Il existe des variétés de haricot dites " mange-tout " pour lesquelles les parois de la gousse ne durcissent pas. Les tiges et feuilles sèches constituent un fourrage grossier mais nutritif pour les animaux. Le haricot est parfois utilisé pour guérir certaines morsures, brûlures ou pour prévenir certaines maladies.
Les mange tout sont cultivé de même manière que les haricot de variété naine</t>
  </si>
  <si>
    <t>Récolté pour ses gousses entières, tendres et sans fil, débutant environ 50 à 60 jours après le semis, récolte fréquente tous les 2 à 3 jours pour maintenir la qualité des gousses</t>
  </si>
  <si>
    <t>Sarcler pour maintenir une parcelle propre Biner superficiellement pour aérer le sol Bien butter pour renforcer l’ancrage après binage Arroser fréquemment et au pied le matin ou l’après- midi</t>
  </si>
  <si>
    <t>Semence certifiée, 60 à 100 Kg /Ha</t>
  </si>
  <si>
    <t>Généralement 50 cm entre les lignes , 10-20 cm sur la ligne</t>
  </si>
  <si>
    <t>Le pois du cap est une légumineuse alimentaire originaire de l'Amérique du Sud (Bassins de l’Amazone) et cultivée pour ses graines. Ces dernières servent, soit directement à l’alimentation humaine sous forme de soupe, purée, soit indirectement pour la fabrication des biscuits On cultive également le pois du cap comme engrais vert. On utilise les fanes comme fourrage car excellent pour les bovins en particulier.</t>
  </si>
  <si>
    <t>Kabaro, Pois du cap</t>
  </si>
  <si>
    <t>Le pois du cap ne pousse que durant les périodes fraîches des climats tropicaux.</t>
  </si>
  <si>
    <t xml:space="preserve">installation: 18° à 21°C 
développement : 13 à 
16°C 
Il ne craint pas les températures élevées qui 
peuvent dépasser 30°C. </t>
  </si>
  <si>
    <t xml:space="preserve">Mars- Avril </t>
  </si>
  <si>
    <t>Il faut irriguer ou faire la culture sur des terrains où la nappe phréatique est proche : baiboho. Néanmoins, on a constaté qu’il ne faut pas trop irriguer durant la phase de floraison, car cela provoquerait la chute des fleurs. Il vaut mieux laisser la plante souffrir de la soif à cette époque.</t>
  </si>
  <si>
    <t>Il demande des sols légers relativement perméables et riches en matières minérales. Il préfère les alluvions du type limono-argileux bien pourvus en acide phosphorique, en potasse mais surtout en chaux</t>
  </si>
  <si>
    <t xml:space="preserve">Le pois du cap ne donne des rendements satisfaisants que de 0 à 50 -  60m 
d’altitude </t>
  </si>
  <si>
    <t>Labour du sol à 20 – 25 cm de profondeur après avoir épandu le fumier et la fumure 
minérale. Repos du sol durant un mois. 
Pulvérisage et affinage du sol avant le semis. Confection des billons de 25 à 30 cm 
de haut, distants de 1m si la culture est irriguée.</t>
  </si>
  <si>
    <t xml:space="preserve"> Semences saines grosses et 
non charançonnées, 25-60Kg/Ha</t>
  </si>
  <si>
    <t>Deux  ou trois sarclages sont nécessaires en début de végétation. Par la suite, le 
pois du cap couvre totalement le sol et les mauvaises herbes sont étouffées. 
L’irrigation se pratique comme celle du coton. L’eau coule dans les rigoles 
d’irrigation formées par les billons. En terre limono-argileux, il faut arroser toutes les trois 
semaines jusqu’à la floraison. Après la floraison, les arrosages seront espacés.  
En terre légère, les arrosages sont beaucoup plus rapprochés.</t>
  </si>
  <si>
    <t xml:space="preserve">20 T de fumier /Ha épandues avant le labour sur toute la surface du champ ou seulement à l’emplacement des poquets, 1mois avant le semis. </t>
  </si>
  <si>
    <t xml:space="preserve"> 
La maturation du pois du cap est échelonnée et la récolte sera faite en 2 fois au 
moins. La récolte se fait en ramassant les gousses à la main et lors du dernier passage, en 
coupant le pied au collet. On retourne alors le plant et on le laisse sécher au soleil pendant 
une journée 
 Puis on sépare les gousses des tiges à la main et on les bat ensuite sur une natte 
par exemple. On termine par un vannage</t>
  </si>
  <si>
    <t xml:space="preserve"> 
Anthracnose : dûe à un champignon qui provoque des tâches arrondies sur les feuilles et les 
gousses. 
Alternariose : dûe à un champignon qui provoque des tâches décolorées sur les feuilles  
Aspergillose : dûe à un champignon qui provoque la pourriture des jeunes plants lors de la 
levée 
Ascochyta : champignon qui provoque des tâches nécrosées sur la face supérieure des 
feuilles </t>
  </si>
  <si>
    <t>Nématodes :provoquent de grosses protubérances  sur les racines et les pieds du pois du 
cap dépérissent. 
Grillons : rongent les jeunes tiges lors de la levée 
Hétéronychus : dont les larves ou vers blanc, rongent les racines 
Iules : rongent les crosses du pois du cap 
Cochenilles : piquent les racines et le collet  
Pucerons : piquent les extrémités des jeunes rameaux, des jeunes feuilles et des hampes 
florales 
Charançons : dévorent les feuillent 
Chenilles mineures : creusent de nombreuses galeries dans les feuilles 
Acariens : se fixent sur la face inférieure des feuilles et sucent la sève. 
Lépidoptères : dont les chenilles rongent l’intérieur des graines 
Brûches :  dont les larves rongent l’intérieur des graines 
Charançons :  rongent l’intérieur des graines stockées  
Bœufs : friand des tiges et des feuillent vertes 
Rats : aiment surtout les graines en voie de maturation.</t>
  </si>
  <si>
    <t xml:space="preserve">En culture irriguée, le semis se fera en poquets de 5 à 6 graines sur la crête des 
billons. Sur un même billon, deux poquets consécutifs sont distants de 3,50m. Entre deux 
billons consécutifs, le semis se fait en quinconce et la distance entre deux poquets est de 2m 
Sur les terres d’alluvions périodiquement inondées, les poquets seront espacés de 
1,5m à 4m en tous sens suivant la fertilité du sol et l’époque de semis à raison de 5 à 6 
graines par poquet  
 La densité moyenne correspond à 2500 poquets à l’hectare en culture traditionnelle. 
Pour améliorer le rendement, il est conseillé de n’en mettre que 1400 environ. Pour le semis  
du pois du cap comme plante fourragère, il est prévu des poquets de 4 graines espacés de 
1m en tous sens. </t>
  </si>
  <si>
    <t xml:space="preserve">Phaseolus Vulgaris </t>
  </si>
  <si>
    <t>Inamoenus</t>
  </si>
  <si>
    <t>Engrais NPK (11-22-16) : Appliquer 50 kg par hectare pour fournir les éléments nutritifs essentiels.  ￼
 • Dolomie : Pour corriger l’acidité des sols (pH &lt; 5,5), incorporer 1,5 tonne par hectare de dolomie, qui apporte du calcium et du magnésium</t>
  </si>
  <si>
    <t>Allium ampeopresum ou porrum L</t>
  </si>
  <si>
    <t>Allium Schoenopraum L</t>
  </si>
  <si>
    <t>Poireau: gros long d'été, perpétuel Antillais</t>
  </si>
  <si>
    <t>Ciboulette commune</t>
  </si>
  <si>
    <t>Ciboulette, Tongolo maitso</t>
  </si>
  <si>
    <t>Pas d'exigence</t>
  </si>
  <si>
    <t>Sols profonds, meubles et riches en matières organiques 
- Bien aérés et bien draînants
- Susceptibles de maintenir la fraîcheur
- Sols d’alluvions légèrs ou sols maraîchers, exposition plein soliel mais pas trop chaud</t>
  </si>
  <si>
    <t>Température optimale 15 à 16 °C</t>
  </si>
  <si>
    <t>Possible toute l’année (avec eau)</t>
  </si>
  <si>
    <t>Saison fraîche : Mai- Septembre</t>
  </si>
  <si>
    <t>repiquage :
Densité de peuplement 8 à 12 plants par m2
- Distance entre plants : 10 - 12cm
- Distance en rangs : 50 à 60 cm</t>
  </si>
  <si>
    <t>Récolter à partir du 4 ème mois après le repiquage au fur et à mesure
 de l’utilisationet suivant la grosseur désirée (tige de 2 à 3cm d’épaisseur)- Déterrer la plante- Nettoyer sommairement sur place</t>
  </si>
  <si>
    <t>Bien labourer le sol profondément (30cm)- Enfouir 15 à 20  tonnes  par hectare defumier ou du  compost bien décomposé - Ameublir en surface et affiner pour obtenir une surface grumeleuse.</t>
  </si>
  <si>
    <t>Biner superficiellement pour aérer le sol- Butter après 2 ou 3 mois du repiquage après un binage, faire un deuxième buttage un mois après le premier pour le blanchiment de la partie basse sur 10 à 15cm- Arroser fréquemment et au pied le matin ou l’après- mid</t>
  </si>
  <si>
    <t>15 à 20 tonnes de fumure organique bien décomposée à l’hectare</t>
  </si>
  <si>
    <t>TEIGNE DU POIREAU
  ( perforation des feuilles)
 Lutte
 Tremper les plants dans une solution de deltaméthrine (DECIS) avant le repiquage
ALTERNARIOSE 
 (Taches à l’extrémité des feuilles, flétrissement et déssèchement)
ROUILLE DU POIREAU
- Dûe à une forte humidité
- Veiller à ne pas éclabousser les feuilles lors de l’ arrosage
LuttePréventive
- respecter la rotation
- utiliser de graines pré-traitées
- désinfecter du lit de semis
- bon régime d’aération et d’arrosage
- Après récolte : éliminer le maximum de déchets de culture</t>
  </si>
  <si>
    <t>Semences certifiées: 60 kg/ha de semences si semi direct, 1-1,5Kg de semences/ha si transplantation (pépinière de 300m2)</t>
  </si>
  <si>
    <t>Semences certifiées: 150 kg/ha de semences si semi direct, 3-6 Kg de semences/ha si transplantation (pépinière de 300m2)</t>
  </si>
  <si>
    <t>Biner superficiellement pour aérer le sol- Butter après 2 ou 3 mois du repiquage après un binage, faire un deuxième buttage un mois
 après  le premier pour le  blanchiment de la partie basse sur 10 à 15cm- Arroser fréquemment et au pied le matin ou l’après- midi</t>
  </si>
  <si>
    <t>Allium Sativum</t>
  </si>
  <si>
    <t>L'ail pousse mal dans les zones trop humides, avec du fumier mal décomposé. Zones de culture : Hauts-Plateaux et Centre-Ouest</t>
  </si>
  <si>
    <t xml:space="preserve">Binages et sarclages 
- Pas de buttage : pour éviter la pourriture des bulbes </t>
  </si>
  <si>
    <t xml:space="preserve">Maladies des feuilles : Alternaria, Puccinia, Mildiou. 
Traitement avec du Mancozèbe ou Benomyl </t>
  </si>
  <si>
    <t xml:space="preserve">Insectes qui dévorent les feuilles : utiliser des insecticides. </t>
  </si>
  <si>
    <t>Récolter quand les tiges virent au jaune paille, 140 - 150 jours après semis : 
- Arracher à la main et secouer pour enlever la terre 
- Laisser sur place 1 à 2 jours</t>
  </si>
  <si>
    <t xml:space="preserve">Labour profond de 30 - 35 cm. 
- Sur sol peu fertile : mettre 10 - 20 T/ha de fumier bien décomposé et 300 Kg/ha de NPK 11
22-16. </t>
  </si>
  <si>
    <t>Caïeux, Bulbe</t>
  </si>
  <si>
    <t xml:space="preserve"> Culture en lignes : 10 x 12 cm à 2 - 3 cm de profondeur, environ 50 plants/ m2</t>
  </si>
  <si>
    <t xml:space="preserve">Choisir les gros caïeux de l'extérieur du bulbe, sains, de même grosseur : 10 à 12kg/are, 
Traiter les caïeux avec un fongicide et insecticide avant la plantation pour prévenir les maladies et les attaques d'insectes, </t>
  </si>
  <si>
    <t>20 à 30 tonnes de fumier par ha</t>
  </si>
  <si>
    <t>Céléri commun</t>
  </si>
  <si>
    <t>Persil frisé</t>
  </si>
  <si>
    <t>Apium graveolens</t>
  </si>
  <si>
    <t>Céléri</t>
  </si>
  <si>
    <t>Climat tempéré, humide</t>
  </si>
  <si>
    <t>Mars à Septembre (zones des Hautes Terres)</t>
  </si>
  <si>
    <t xml:space="preserve">Environ 3 à 4 mois après le semis (soit 2 à 2,5 mois après repiquage).
 • Signes de maturité : Les tiges deviennent épaisses et bien formées, la rosette est bien développée.
 • Saison favorable à la récolte : Juin à novembre, selon les zones des Hautes Terres où la température est fraîche et la pluviométrie modérée.
</t>
  </si>
  <si>
    <t>Le sol doit être bien labouré, finement émietté et enrichi avec du fumier bien décomposé avant le semis ou la plantation.</t>
  </si>
  <si>
    <t>Le sol doit être bien labouré, finement émietté et enrichi avec du fumier bien décomposé :10 à 15 t/ha  avant le semis ou la plantation.</t>
  </si>
  <si>
    <t>Des arrosages réguliers, un désherbage fréquent, un léger buttage si nécessaire, et l’apport d’engrais complémentaires selon le stade de développement.</t>
  </si>
  <si>
    <t>Des  arrosages réguliers, un désherbage fréquent, un léger buttage si nécessaire, et l’apport d’engrais complémentaires selon le stade de développement.</t>
  </si>
  <si>
    <t>Compost ou fumier bien décomposé :10 à 15 t/ha</t>
  </si>
  <si>
    <t>Oïdium : feutrage blanc sur les feuilles.
 • Prévention : aération, ne pas arroser sur le feuillage.
 • Traitement curatif : lait dilué à 10 % ou soufre mouillable.
 • Fonte des semis : jeunes plants flétris.
 • Prévention : semer en sol drainé, désinfecter le terreau.
 • Traitement curatif : arrosage avec décoction de prêle.</t>
  </si>
  <si>
    <t>Pucerons : comme pour le céleri.
 • Traitement curatif : idem céleri.
 • Chenilles mineuses : galeries dans les feuilles.
 • Prévention : surveillance régulière.
 • Traitement curatif : biopesticides à base de Bacillus thuringiensis (Bt) si disponibles.</t>
  </si>
  <si>
    <t>Taches foliaires (Cercosporiose) : taches sombres sur les feuilles.
 • Prévention : éviter excès d’humidité.
 • Traitement curatif : bouillie bordelaise, décoction d’ail + oignon.
 • Pourriture des racines : en sol trop humide.
 • Prévention : drainage du sol.
 • Traitement curatif : apport de compost bien mûr + décoction de prêle.</t>
  </si>
  <si>
    <t>Mouches des semis : attaques sur jeunes plants.
 • Prévention : semer à bonne profondeur, couvrir les semis.
 • Traitement curatif : terre de diatomée autour des plants ou poudrage avec du piment sec moulu</t>
  </si>
  <si>
    <t>Petroselinum crispum</t>
  </si>
  <si>
    <t xml:space="preserve">Espacement : 20 × 20 cm
 Densité : 250 000 à 300 000 pieds/ha
</t>
  </si>
  <si>
    <t>2 à 2,5 mois après le semis direct.
 • Signes de maturité : Feuilles bien développées, vert foncé, prêtes à être coupées.
 • Saison favorable à la récolte : Possible toute l’année en irrigué, mais les meilleures récoltes sont entre mai et octobre (saison fraîche et sèche).</t>
  </si>
  <si>
    <t>Régions des Hautes Terres : février à octobre, en privilégiant la saison fraîche (avril à août) pour une meilleure qualité des feuilles.
Régions côtières ou chaudes : possible toute l’année si l’irrigation est assurée, mais éviter les périodes très pluvieuses.</t>
  </si>
  <si>
    <t xml:space="preserve"> Semences certifiées:300 à 400 g</t>
  </si>
  <si>
    <t>Semence certifiées 3 à 5 kg/ha</t>
  </si>
  <si>
    <t>Période de récolte :
 • Pour les feuilles : 1 à 1,5 mois après le semis (avant floraison).
 • Pour les graines (épices/semences) : 3 mois après semis, quand les graines brunissent.
 • Saison favorable à la récolte : Mai à août pour les feuilles (climat frais), août à octobre pour les graines (période plus sèche).</t>
  </si>
  <si>
    <t>Compost : 10 t/ha</t>
  </si>
  <si>
    <t>Fumier : 10 à 12 t/ha</t>
  </si>
  <si>
    <t xml:space="preserve">NPK  : 250 kg/ha
  Urée : 50 kg/ha
 K₂SO₄ : 80 kg/ha
</t>
  </si>
  <si>
    <t xml:space="preserve">NPK : 200 kg/ha
 Urée : 40 kg/ha
K₂SO₄ : 60 kg/ha
</t>
  </si>
  <si>
    <t>Makalioka</t>
  </si>
  <si>
    <t>Tsipala</t>
  </si>
  <si>
    <t xml:space="preserve">Dista </t>
  </si>
  <si>
    <t>FOFIFA 172</t>
  </si>
  <si>
    <t>Adaptée aux zones de basse et moyenne altitude (0–1 200 m).</t>
  </si>
  <si>
    <t>Convient aux zones de basse altitude (0–800 m).</t>
  </si>
  <si>
    <t>Entre 25°C et 32°C</t>
  </si>
  <si>
    <t>Idéale pour les hautes terres 1 200–1 800 m</t>
  </si>
  <si>
    <t>Sols bien drainés, riches en matière organique</t>
  </si>
  <si>
    <t>20-28°C</t>
  </si>
  <si>
    <t>Climats tropicaux : conditions de humidités élevées</t>
  </si>
  <si>
    <t>Climats tropicaux</t>
  </si>
  <si>
    <t>Vary Dista, Riz rose</t>
  </si>
  <si>
    <t>1. Défrichage : Élimination des résidus de culture et des mauvaises herbes.
 2. Labour : Labour profond pour ameublir le sol.
 3. Nivellement : Assurer une surface plane pour une distribution uniforme de l’eau.
 4. Fertilisation de fond : Incorporation de fumier bien décomposé (5–10 t/ha) avant le semis.</t>
  </si>
  <si>
    <t>• Désherbage : Manuel ou mécanique, effectué 2 à 3 fois pendant le cycle.
 • Irrigation : Pour les variétés irriguées, maintenir une lame d’eau de 5–10 cm.
 • Surveillance phytosanitaire : Inspection régulière pour détecter les maladies et ravageurs</t>
  </si>
  <si>
    <t>• Désherbage : Manuel ou mécanique, effectué 2 à 3 fois pendant le cycle.
 • Surveillance phytosanitaire : Inspection régulière pour détecter les maladies et ravageurs</t>
  </si>
  <si>
    <t>Octobre à décembre
Âge des plants au repiquage : Les plants sont généralement repiqués entre 8 et 15 jours après le semis, au stade de 2 feuilles, pour favoriser un meilleur tallage et une croissance optimal</t>
  </si>
  <si>
    <t>Novembre à janvier
Âge des plants au repiquage : Les plants sont généralement repiqués entre 8 et 15 jours après le semis, au stade de 2 feuilles, pour favoriser un meilleur tallage et une croissance optimal</t>
  </si>
  <si>
    <t>Octobre à novembre
Âge des plants au repiquage : Les plants sont généralement repiqués entre 8 et 15 jours après le semis, au stade de 2 feuilles, pour favoriser un meilleur tallage et une croissance optimal</t>
  </si>
  <si>
    <t xml:space="preserve">La culture du riz à Madagascar implique généralement la création de pépinières pour produire des plantules avant leur transplantation dans les rizières. Cette méthode permet une meilleure gestion des plants et une optimisation de l’espace.
 • Surface de la pépinière : pour le SRI, une pépinière de 100 m² est suffisante pour repiquer un hectare de rizière avec un espacement de 25 × 25 cm avec un seul plant par poquet
 </t>
  </si>
  <si>
    <t>Semence certifiéé;6-10kg/ha
(adoption du SRI)</t>
  </si>
  <si>
    <t>Fumier : 5–10 t/ha, incorporé lors de la préparation du sol</t>
  </si>
  <si>
    <t>Semence certifiées 7 à 10 kg/ha</t>
  </si>
  <si>
    <t>La période optimale pour semer la coriandre s'étend de mars à avril: fin de la saison des pluies</t>
  </si>
  <si>
    <t>Semis direct
 • Espacement entre les lignes : 30 cm
 • Espacement entre les plants sur la ligne : 15 à 20 cm
 • Densité moyenne : Environ 10 à 12 plants par m²</t>
  </si>
  <si>
    <t xml:space="preserve">NPK  : 100–150 kg/ha, appliqué en deux fois (50% à la plantation, 50% au tallage).
 • Urée : 50–100 kg/ha, fractionnée en deux applications (au tallage et à la montaison).
</t>
  </si>
  <si>
    <t>Zone optimale : 800 à 1 500 mètres d’altitude
 Elle peut toutefois pousser entre 0 et 1 800 m, mais les conditions optimales (température modérée, humidité suffisante) se trouvent généralement dans les hautes terres centrales</t>
  </si>
  <si>
    <t>Elle préfère des températures modérées, typiques des zones des Hautes Terres de Madagascar.
Température favorable à la culture :
 • Optimale : entre 18°C et 25°C
 • Tolérance : de 15°C à 30°C</t>
  </si>
  <si>
    <t>Labour profond (1 à 2 passages)
 • Apport de fumure organique : 20 à 30 tonnes/ha
 • Buttage léger possible en zone pluvieuse</t>
  </si>
  <si>
    <t>Désherbage régulier, éclaircissage si nécessaire. Paillage conseillé pour maintenir l’humidité et limiter les mauvaises herbes.
A part les binages, sarclages, il est nécessaire d’apporter des fumures de couverture  après chaque cueillette pour  allonger  la période de récolte.</t>
  </si>
  <si>
    <t>Récolte des feuilles jeunes et tendres, généralement 45 à 60 jours après semis.
- Couper les feuilles à la base pour permettre une repousse</t>
  </si>
  <si>
    <t>En pépinière, à repiquer  après 30_45 jours ou en semis direct suivi des fréquents éclaircissages .En repiquage ou en semis direct éclairci, l’ écartement optimal doit être de 15 à 20cm pour avoir une densité de plantation  de 2500 à 4500 plantes par are.</t>
  </si>
  <si>
    <t xml:space="preserve">Variétés utilisées : variétés locales ou paysannes, peu de variétés améliorées disponibles
Mode de semis :
  a) Semis direct : 8 à 12 kg/ha
  b) Semis en pépinière : 2 à 3 kg/ha (300 m² de pépinière pour 1 ha)
</t>
  </si>
  <si>
    <t>Apport de fumier bien décomposé : 20 à 30 t/ha</t>
  </si>
  <si>
    <t>• Mildiou (Phytophthora sp.)
Symptômes : taches jaunes puis brunes sur les feuilles, pouvant évoluer en pourriture en cas d’humidité excessive.
Lutte : rotation culturale, éviter les excès d’humidité, traitements naturels comme la décoction d’ail ou de neem.
 • Taches foliaires (Alternaria, Cercospora)
Symptômes : petites taches brun foncé ou noires sur les feuilles, pouvant provoquer la chute prématurée.
Lutte : éliminer les feuilles malades, utiliser du purin de prêle ou de la bouillie bordelaise en prévention.
 • Flétrissement bactérien (Ralstonia solanacearum)
Symptômes : flétrissement brutal des plants même en sol humide, brunissement interne des tiges.
Lutte : éviter les zones contaminées, pratiquer une rotation culturale de 3 à 4 ans, il n’existe pas de traitement curatif.
 • Oïdium (rare en climat tropical humide)
Symptômes : apparition d’un feutrage blanc poudreux sur les feuilles, ralentissement de la croissance.
Lutte : traitement avec du bicarbonate de soude ou décoction de soufre, espacer les plants pour favoriser l’aération.</t>
  </si>
  <si>
    <t>• Pucerons (Aphis spp.)
Symptômes : colonies de petits insectes sur les tiges et dessous des feuilles, feuilles enroulées, production de miellat.
Lutte : pulvérisation de savon noir, décoction de neem ou ail-piment, favoriser les auxiliaires comme les coccinelles.
 • Altises (petits coléoptères sauteurs)
Symptômes : petits trous ronds dans les feuilles, surtout chez les jeunes plants.
Lutte : paillage du sol, application de cendre sur les feuilles, rotation des cultures.
 • Chenilles défoliatrices
Symptômes : consommation des feuilles, surtout des jeunes pousses, parfois dégâts sur les tiges.
Lutte : ramassage manuel, utilisation de biopesticides (ex. : Bacillus thuringiensis), décoction de neem.
 • Mouches mineuses
Symptômes : galeries blanchâtres ou brunes dans les feuilles.
Lutte : suppression des feuilles attaquées, pièges englués jaunes, rotation.
 • Nématodes à galles
Symptômes : racines gonflées ou déformées (galles), jaunissement, croissance ralentie.
Lutte : rotation culturale, apport de compost bien mûr, plantation de plantes répulsives comme la tagète.</t>
  </si>
  <si>
    <t>Brassica rapa subsp. pekinensis</t>
  </si>
  <si>
    <t>Température optimale : 15°C à 22°C ; tolère 5°C à 25°C</t>
  </si>
  <si>
    <t>Tempéré humide ou tropical d’altitude</t>
  </si>
  <si>
    <t>Février à avril et août à octobre</t>
  </si>
  <si>
    <t xml:space="preserve">Méthode de semis : Semis direct ou en pépinière avec repiquage après 3-4 semaines
 Densité de plantation : 30 à 40 cm entre les plants, 40 à 50 cm entre les lignes
</t>
  </si>
  <si>
    <t>2 à 3 mois après semis</t>
  </si>
  <si>
    <t xml:space="preserve">?- Labour profond à 20-25 cm
- Incorporation de compost ou fumier : 20 à 30 t/ha
- Nivellement du terrain
</t>
  </si>
  <si>
    <t xml:space="preserve">Entretien cultural
- Sarclage : Deux sarclages pendant la croissance
- Buttage léger
- Irrigation régulière
</t>
  </si>
  <si>
    <t>Fertilisation organique : Compost ou fumier (20 à 30 t/ha)</t>
  </si>
  <si>
    <t xml:space="preserve">Engrais de fond : NPK 11-22-16 ou DAP (100 à 150 kg/ha)
   - Engrais de couverture : Urée ou sulfate d'ammonium (50 à 80 kg/ha)
</t>
  </si>
  <si>
    <t>a. Hernie du chou (Plasmodiophora brassicae)
 • Symptômes : Gonflements et déformations des racines, jaunissement et flétrissement des feuilles.
 • Lutte :
 • Rotation culturale longue (3-4 ans) avec des non-crucifères.
 • Utilisation de plants sains.
 • Chaulage du sol (pH &gt; 7) pour limiter le développement du pathogène.
b. Mildiou (Peronospora parasitica)
 • Symptômes : Taches jaunes sur le dessus des feuilles, avec un feutrage blanchâtre au revers.
 • Lutte :
 • Espacement suffisant entre les plants.
 • Arrosage au pied plutôt que par aspersion.
 • Utilisation de fongicides à base de cuivre en prévention.
c. Alternariose (Alternaria brassicae, A. brassicicola)
 • Symptômes : Taches noires rondes sur les feuilles avec des cercles concentriques.
 • Lutte :
 • Éviter l’humidité excessive.
 • Ramassage et destruction des résidus infectés.
 • Traitement fongicide en cas d’attaque importante.</t>
  </si>
  <si>
    <t>a. Punaise du chou (Eurydema ventralis, Eurydema ornata)
 • Symptômes : Décoloration et taches sur les feuilles dues aux piqûres ; affaiblissement des plants.
 • Lutte :
 • Ramassage manuel si faible infestation.
 • Pulvérisation d’insecticides naturels (ex : purin de neem).
 • En cas de forte attaque, insecticide homologué.
b. Altise (Phyllotreta spp.)
 • Symptômes : Petits trous ronds sur les jeunes feuilles.
 • Lutte :
 • Couvrir les jeunes plants avec un filet anti-insectes.
 • Traitement à base de savon insecticide ou neem.
c. Piéride du chou (Pieris brassicae)
 • Symptômes : Trous dans les feuilles causés par les chenilles.
 • Lutte :
 • Ramassage manuel des œufs et chenilles.
 • Utilisation de biopesticides à base de Bacillus thuringiensis.
 • Prédateurs naturels : encourager les oiseaux et parasitoïdes.
d. Pucerons (Brevicoryne brassicae)
 • Symptômes : Déformation des feuilles, miellat et fumagine noire.
 • Lutte :
 • Traitement au savon noir ou purin d’ortie.
 • Favoriser les coccinelles (prédateurs naturels).</t>
  </si>
  <si>
    <t>Sols riches en matière organique, limono-argileux, humides à détrempés, pH 6 à 7,2</t>
  </si>
  <si>
    <t>10 à 20 °C (tempérée, supporte mal les fortes chaleurs)</t>
  </si>
  <si>
    <t>Tempéré à frais, semi-humide à humide, besoin d’eau permanent</t>
  </si>
  <si>
    <t>Fin de saison des pluies ou début saison fraîche (mars à mai)</t>
  </si>
  <si>
    <t>20 cm entre les lignes, 10 cm sur la ligne (≈ 500 000 plants/ha)</t>
  </si>
  <si>
    <t>2 mois après semis, récolte étalée tous les 10-15 jours
Récolte manuelle des jeunes pousses avec couteau ou ciseaux</t>
  </si>
  <si>
    <t xml:space="preserve">• Le terrain doit être bien nettoyé, défriché et labouré superficiellement. 
• Des planches de culture légèrement surélevées sont aménagées, avec des canaux pour permettre l'irrigation continue ou la stagnation de l’eau. Le terrain peut être enrichi en compost bien décomposé avant le semis.
</t>
  </si>
  <si>
    <t xml:space="preserve">• Désherbage régulier entre les lignes pour éviter la concurrence.
• Maintien permanent d’un bon niveau d’humidité, par irrigation de surface ou submersion contrôlée.
• Élimination des feuilles âgées ou malades.
• Repiquage ou remplacement possible en cas de mortalité des jeunes plants.
</t>
  </si>
  <si>
    <t>15 à 20 tonnes/ha de fumier bien décomposé, appliqué avant le semis.</t>
  </si>
  <si>
    <t>a. Mildiou (Peronospora nasturtii ou Peronospora parasitica)
 • Symptômes : taches jaunes sur la face supérieure des feuilles, feutrage gris-violet au revers, déformation des feuilles.
 • Conditions favorables : humidité élevée, faible ventilation.
 • Lutte :
 • Préventive : espacement suffisant entre les plants, éviter l’excès d’humidité stagnante.
 • Curative : fongicides à base de cuivre (bouillie bordelaise), mancozèbe, fosétyl-Al (si autorisés localement).
b. Rouille (Puccinia spp.)
 • Symptômes : pustules orange à brun rouille sur les deux faces des feuilles.
 • Lutte :
 • Rotation des cultures,
 • Élimination des feuilles atteintes,
 • Traitements préventifs à base de cuivre.
c. Fonte des semis (Pythium spp., Rhizoctonia spp.)
 • Symptômes : jeunes plantules qui flétrissent et pourrissent à la base.
 • Lutte :
 • Utilisation de substrats bien drainés,
 • Traitement des semences (Thirame, si autorisé),
 • Application de Trichoderma spp. en bio-contrôle.</t>
  </si>
  <si>
    <t>a. Pucerons (Aphis nasturtii, Myzus persicae)
 • Symptômes : feuilles enroulées, déformations, présence de miellat favorisant la fumagine.
 • Lutte :
 • Introduction de coccinelles ou syrphes (lutte biologique),
 • Insecticides naturels : savon noir, neem (azadirachtine),
 • Insecticides chimiques : pirimicarb, acétamipride (avec précautions).
b. Altises (Phyllotreta spp.)
 • Symptômes : petits trous ronds dans les feuilles.
 • Lutte :
 • Paillage, filets anti-insectes,
 • Pièges collants jaunes,
 • Pyréthrines en traitement foliaire.
c. Limaces et escargots
 • Symptômes : trous irréguliers sur les feuilles, surtout en bordure.
 • Lutte :
 • Ramassage manuel,
 • Cendres ou coquilles d’œufs autour des cultures,
 • Appâts anti-limaces (métaldéhyde ou phosphate ferrique).</t>
  </si>
  <si>
    <t>Turmeric Ginger</t>
  </si>
  <si>
    <t>Ipomoea</t>
  </si>
  <si>
    <t>Gros Michel</t>
  </si>
  <si>
    <t>P</t>
  </si>
  <si>
    <t>Sol profond (au moins 60cm de profondeur), bien drainé, et ne présentant ni une texture lourde, ni une faible perméabilité. Ph du sol optimal: 5,5 à 7,5.</t>
  </si>
  <si>
    <t>Lacatan</t>
  </si>
  <si>
    <t>Poyo</t>
  </si>
  <si>
    <t>Naine</t>
  </si>
  <si>
    <t>Carica</t>
  </si>
  <si>
    <t>Solo</t>
  </si>
  <si>
    <t>Sunrise</t>
  </si>
  <si>
    <t>Solo sunset</t>
  </si>
  <si>
    <t>Solo Waimanalo</t>
  </si>
  <si>
    <t>La température optimale pour sa croissance est située entre 20 et 30°C</t>
  </si>
  <si>
    <t>Elle nécessite une pluviométrie annuelle comprise entre 800 et 1500 mm pour un bon rendement</t>
  </si>
  <si>
    <t>Le climat tropical humide ou subhumide est favorable à cette culture, avec un bon ensoleillement</t>
  </si>
  <si>
    <t>Rhizome (pas de graines ni plantules)</t>
  </si>
  <si>
    <t>Espacement de 30 à 50 cm entre les lignes, 20 à 30 cm sur la ligne 
40000 à 50000 plants par hectare</t>
  </si>
  <si>
    <t>Labour profond, affinage, billonnage ou buttage</t>
  </si>
  <si>
    <t>Compost ou fumier bien décomposé à 15-20t/Ha</t>
  </si>
  <si>
    <t>NPK à 250 à 300 kg / ha et dolomie si besoin</t>
  </si>
  <si>
    <t>Charançon du rhizome: galeries internes, affaiblissement des plants
Lutte : hygiène, pièges, rotation culturale</t>
  </si>
  <si>
    <t>Fusariose, pourriture bactérienne: tiges molles, rhizomes pourris
Lutte: selection des rhizomes, sol bien drainé, traitements fongicides bio</t>
  </si>
  <si>
    <t>Locale ou améliorée selon l'origine des rhizomes</t>
  </si>
  <si>
    <t>Sol meuble, profond, riche en matière organique, bien draîné, pH 5,5 à 7</t>
  </si>
  <si>
    <t>Elle nécessite une pluviométrie annuelle comprise entre 1500 et 2000 mm, bien répartie</t>
  </si>
  <si>
    <t xml:space="preserve">Le climat tropical humide ou subhumide </t>
  </si>
  <si>
    <t>Labour profond, affinage, billonnage</t>
  </si>
  <si>
    <t>Les principales tâches comprennent le desherbage, le paillage, le buttage et l'iirigation si nécessaire</t>
  </si>
  <si>
    <t>On recommande l’utilisation de compost ou de fumier bien décomposé à raison de 15 à 20 tonnes par hectare</t>
  </si>
  <si>
    <t>NPK à 300 kg / ha + dolomie 500 kg/ha si sol acide</t>
  </si>
  <si>
    <t>Pourriture des rhizomes (Pythium, Fusarium)  : rhizomes mous et bruns
Lutte: drainage efficace, fongicides cuivreux, semences saines
Elle est également sensible à des maladies fongiques comme le mildiou ; les traitements préventifs et le choix de semences saines sont essentiels.</t>
  </si>
  <si>
    <t>Les principales tâches comprennent le sarclage, paillage, arrosage</t>
  </si>
  <si>
    <t>Le semis est généralement effectué de Novembre à Janvier</t>
  </si>
  <si>
    <t>La récolte est souvent manuelle, se fait en une ou plusieurs fois de Aout à octobre</t>
  </si>
  <si>
    <t>La récolte est souvent manuelle, se fait en une ou plusieurs fois de Aout à octobre quand les feuilles jaunissent</t>
  </si>
  <si>
    <t>Nématodes: croissance ralentie, flétrissement
Lutte: rotation, biofumigation</t>
  </si>
  <si>
    <t>Violette de Barbentane</t>
  </si>
  <si>
    <t>Elle se développe bien dans des altitudes allant de 0 à 1800 mètres, selon les conditions climatiques locales</t>
  </si>
  <si>
    <t>Elle préfère un sol léger, bien drainé, riche en matière organique et légèrement acide à neutre, ph 6 à 7</t>
  </si>
  <si>
    <t>La température optimale pour sa croissance est située entre 25 et 35°C.</t>
  </si>
  <si>
    <t>Le climat tropical humide ou subhumide est favorable à cette culture, avec un bon ensoleillement,
Ne tolère pas l'humidité excessive</t>
  </si>
  <si>
    <t>Le semis est généralement effectué au début de la saison des pluies, pour profiter de l’humidité du sol</t>
  </si>
  <si>
    <t>Espacement de 70 cm entre les lignes x 50 cm sur la ligne
Densité moyenne de 25000 à 28000 plants par hectare</t>
  </si>
  <si>
    <t>2 à 3 mois après la plantation</t>
  </si>
  <si>
    <t>Labour, fumure organique bien décomposée</t>
  </si>
  <si>
    <t>Sarclage, binage, tuteurage possible</t>
  </si>
  <si>
    <t>Compost 10 à 15 T/ha</t>
  </si>
  <si>
    <t>Dolomie si sol acide
NPK : 300 à 400 Kg/ha
Urée en complément : 100 kg/ha en 2 apports</t>
  </si>
  <si>
    <t xml:space="preserve">Flétrissement bactérien : - Dû au blocage de la circulation de la sève à cause de l’obturation des vaisseaux conducteurs.
Lutte : arracher et brûler les plantes malades.
Oïdium : - Feuilles recouvertes d’un feutrage blanchâtre constitué par des filaments.
Lutte : traitement dès l’apparition de la 1ère symptôme.
Rouille (Pucinicoangivyi) : - Feuilles recouvertes d’un feutrage blanchâtre constitué par des filaments.
Lutte : traitement dès l’apparition de la 1ère symptôme.
- Tâches brunes sur les feuilles.
Lutte : enlever les débris des plantes après la récolte.
Anthracnose (Glosporiumsp)
- Tâches grises très déprimées et bien délimitées sur les feuilles et les fruits.
Lutte : triage et désinfection des semences.
</t>
  </si>
  <si>
    <r>
      <rPr>
        <sz val="12"/>
        <color rgb="FFFF0000"/>
        <rFont val="Calibri"/>
        <family val="2"/>
      </rPr>
      <t>Besoin mensuelle de 100mm d'eau durant toute la période de sa végétation</t>
    </r>
    <r>
      <rPr>
        <sz val="12"/>
        <color theme="1"/>
        <rFont val="Calibri"/>
        <family val="2"/>
      </rPr>
      <t xml:space="preserve">
</t>
    </r>
    <r>
      <rPr>
        <sz val="12"/>
        <color rgb="FFFF0000"/>
        <rFont val="Calibri"/>
        <family val="2"/>
      </rPr>
      <t>1200-1500 mm</t>
    </r>
  </si>
  <si>
    <r>
      <t xml:space="preserve">Utiliser des grains sains provenant d'une variété pure et améliorée si possible et bien adaptée à la région;
Choisir les semences en fonction de l'usage auquel on destine le maïs;
Utiliser des semences ayant une faculté germinative d'au moins 90%;
Égrener les épis de maïs, trier les grains, éliminer les grains trop petits ou brisés et les grains de la base ou du sommet des épis qui germent moins bien;
</t>
    </r>
    <r>
      <rPr>
        <b/>
        <sz val="12"/>
        <color rgb="FFFF0000"/>
        <rFont val="Calibri"/>
        <family val="2"/>
      </rPr>
      <t>Quantité de semences: 20 à 25 kg/ha</t>
    </r>
    <r>
      <rPr>
        <sz val="12"/>
        <color rgb="FFFF0000"/>
        <rFont val="Calibri"/>
        <family val="2"/>
      </rPr>
      <t xml:space="preserve">
</t>
    </r>
  </si>
  <si>
    <r>
      <rPr>
        <sz val="12"/>
        <color rgb="FFFF0000"/>
        <rFont val="Calibri"/>
        <family val="2"/>
      </rPr>
      <t xml:space="preserve">Nettoyage, Travail du sol : </t>
    </r>
    <r>
      <rPr>
        <sz val="12"/>
        <color theme="1"/>
        <rFont val="Calibri"/>
        <family val="2"/>
      </rPr>
      <t xml:space="preserve">Labour </t>
    </r>
    <r>
      <rPr>
        <sz val="12"/>
        <color rgb="FFFF0000"/>
        <rFont val="Calibri"/>
        <family val="2"/>
      </rPr>
      <t>profond</t>
    </r>
    <r>
      <rPr>
        <sz val="12"/>
        <color theme="1"/>
        <rFont val="Calibri"/>
        <family val="2"/>
      </rPr>
      <t xml:space="preserve">, hersage et émottage, </t>
    </r>
    <r>
      <rPr>
        <sz val="12"/>
        <color rgb="FFFF0000"/>
        <rFont val="Calibri"/>
        <family val="2"/>
      </rPr>
      <t>Application de la fumure (organique, minérale) Matériels à utiliser: bêche, faucille, charrue, herse, tracteur (pour ceux qui ont les possibilités), bœufs</t>
    </r>
  </si>
  <si>
    <r>
      <rPr>
        <b/>
        <sz val="12"/>
        <color rgb="FFFF0000"/>
        <rFont val="Calibri"/>
        <family val="2"/>
      </rPr>
      <t>Sarclage et buttage</t>
    </r>
    <r>
      <rPr>
        <sz val="12"/>
        <color rgb="FFFF0000"/>
        <rFont val="Calibri"/>
        <family val="2"/>
      </rPr>
      <t xml:space="preserve">
- 1er sarclo-binage : 15 à 30 jours après levée, suivi d'un léger buttage et apporter de l’Urée 1kg/are, car la concurrence des mauvaises herbes est très grave à ce stade
- 2ème sarclage : 15 jours après la 1ère
- 2ème buttage : 1,5 mois après le premier
- 3ème sarclage si nécessaire, cela dépend du besoin de la culture avant la phase de floraison.
Cf Calendriers culturaux officiels pour plus de précision</t>
    </r>
    <r>
      <rPr>
        <sz val="12"/>
        <color theme="1"/>
        <rFont val="Calibri"/>
        <family val="2"/>
      </rPr>
      <t xml:space="preserve">
</t>
    </r>
  </si>
  <si>
    <r>
      <t xml:space="preserve"> 
</t>
    </r>
    <r>
      <rPr>
        <sz val="12"/>
        <color rgb="FFFF0000"/>
        <rFont val="Calibri"/>
        <family val="2"/>
      </rPr>
      <t>0,5 à 1 T/ha de dolomie pour augmenter le pH du so</t>
    </r>
    <r>
      <rPr>
        <sz val="12"/>
        <color theme="1"/>
        <rFont val="Calibri"/>
        <family val="2"/>
      </rPr>
      <t xml:space="preserve">l
</t>
    </r>
    <r>
      <rPr>
        <sz val="12"/>
        <color rgb="FFFF0000"/>
        <rFont val="Calibri"/>
        <family val="2"/>
      </rPr>
      <t>NPK : 11-22-16 :275 Kg/ha au moment du semis
Urée : 130Kg/ha : Première moitié à 45 jours après semis, deuxième moitié à l'apparition des fleurs mâles</t>
    </r>
    <r>
      <rPr>
        <sz val="12"/>
        <color theme="1"/>
        <rFont val="Calibri"/>
        <family val="2"/>
      </rPr>
      <t xml:space="preserve">
</t>
    </r>
  </si>
  <si>
    <r>
      <rPr>
        <b/>
        <sz val="12"/>
        <color rgb="FFFF0000"/>
        <rFont val="Calibri"/>
        <family val="2"/>
      </rPr>
      <t>Helminthosporiose du maïs</t>
    </r>
    <r>
      <rPr>
        <sz val="12"/>
        <color rgb="FFFF0000"/>
        <rFont val="Calibri"/>
        <family val="2"/>
      </rPr>
      <t xml:space="preserve">
Moyens préventifs: 
-utiliser des semences certifiées
-faire un dépistage rigoureux des plants, surtout sur les vieilles feuilles
-pratiquer des longues rotations de cultures avec des plantes non hôtes
-assurer un bon espacement entre les plants pour diminuer l’humidité entre les plants
-éviter les excès d’azote, mauvais drainage et irrigation par aspersion
Moyens curatifs:
-détruire les plantes et mauvaises herbes infectées
-utiliser des produits naturels : bouillie bouse bovine
</t>
    </r>
    <r>
      <rPr>
        <b/>
        <sz val="12"/>
        <color rgb="FFFF0000"/>
        <rFont val="Calibri"/>
        <family val="2"/>
      </rPr>
      <t>Maize Streak Virus (Le Virus de la striure du maïs Striure)</t>
    </r>
    <r>
      <rPr>
        <sz val="12"/>
        <color rgb="FFFF0000"/>
        <rFont val="Calibri"/>
        <family val="2"/>
      </rPr>
      <t xml:space="preserve">
Moyens préventifs: 
-utiliser des semences saines et résistantes
-Installer les cultures le plus tôt possible pour éviter la période de pointe des insectes-vecteurs du virus. De plus, la synchronisation de la plantation dans les différents champs peut empêcher le virus de se propager aux cultures les plus jeunes
-Le désherbage régulieren particulier pendant la saison morte, permet d'éliminer les hôtes alternatifs du virus. 
-Le défrichage des buissons autour des champs limite les sites de reproduction des insectes-vecteurs et peut également empêcher la propagation du MSV
- Lors des opérations d'entretien, il est recommandé d'éviter de toucher les plants sains après que les mains ont été en contact avec des plants 
-La rotation culturale, en alternant les cultures de maïs et d'autres plantes cultivées, est également préconisée pour casser l'infestation par le virus et les insectes-vecteurs. Exemple : légumineuse-haricots
Moyens curatifs:
Utilisation des produits naturels : piment, neem
</t>
    </r>
    <r>
      <rPr>
        <b/>
        <sz val="12"/>
        <color rgb="FFFF0000"/>
        <rFont val="Calibri"/>
        <family val="2"/>
      </rPr>
      <t>Puccinia sorghi (rouille/arafesina)</t>
    </r>
    <r>
      <rPr>
        <sz val="12"/>
        <color rgb="FFFF0000"/>
        <rFont val="Calibri"/>
        <family val="2"/>
      </rPr>
      <t xml:space="preserve">
Moyens préventifs: 
-utiliser des semences de qualité
-prioriser un sol bien drainé
-pratiquer la rotation culturale avec des plantes non hôtes
-éliminer les mauvaises herbes à proximité des champs
-éviter les stress aux plants (trop sec, trop mouillé, excès d’azote)
-éviter les semis trop denses
Moyens curatifs:
-Utiliser des produits naturels à base d’ail
-utiliser des fongicides chimiques homologués
</t>
    </r>
    <r>
      <rPr>
        <b/>
        <sz val="12"/>
        <color rgb="FFFF0000"/>
        <rFont val="Calibri"/>
        <family val="2"/>
      </rPr>
      <t>Ustilago maydis (faux-charbon)</t>
    </r>
    <r>
      <rPr>
        <sz val="12"/>
        <color rgb="FFFF0000"/>
        <rFont val="Calibri"/>
        <family val="2"/>
      </rPr>
      <t xml:space="preserve">
Moyens préventifs:
-rotation culturale avec des plantes non hôtes
-éliminer les mauvaises herbes de proximité
-éviter les stress aux plants (excès d’azote, trop sec, trop mouillé) 
-éviter les semis trop denses
Moyens curatifs:
Utiliser des pesticides naturels : ail
</t>
    </r>
  </si>
  <si>
    <r>
      <rPr>
        <b/>
        <sz val="12"/>
        <color rgb="FFFF0000"/>
        <rFont val="Calibri"/>
        <family val="2"/>
      </rPr>
      <t>Heteronychus sp, (vers blancs/Sariky an-tany)</t>
    </r>
    <r>
      <rPr>
        <sz val="12"/>
        <color rgb="FFFF0000"/>
        <rFont val="Calibri"/>
        <family val="2"/>
      </rPr>
      <t xml:space="preserve">
Moyens préventifs: 
- Traitement du sol par enfouissement en profondeur de poudre de neem  / feuille hachée de neem 
-Enrobage de semence dans la poudre de piment (pili-pili) ou extrait de neem
-Enrobage de semence par utilisation de pesticides chimiques homologués
Moyens curatifs
-Ramassage manuel des insectes ravageurs dès le début d’infestation pour éviter leur propagation
- Traitement de sol par utilisation de consoude et curcuma
-Traitement de sol par utilisation de pesticides chimiques homologués
</t>
    </r>
    <r>
      <rPr>
        <b/>
        <sz val="12"/>
        <color rgb="FFFF0000"/>
        <rFont val="Calibri"/>
        <family val="2"/>
      </rPr>
      <t>Spodoptera frugiperda (Chenille légionnaire d’automne/Sababaka)</t>
    </r>
    <r>
      <rPr>
        <sz val="12"/>
        <color rgb="FFFF0000"/>
        <rFont val="Calibri"/>
        <family val="2"/>
      </rPr>
      <t xml:space="preserve">
Moyens préventifs: 
-Utilisation des variétés des plants précoces, résistants, et  tolérantes.
- Labour ou binage pour éliminer les chenilles et chrysalides qui se trouvent dans le sol
- Eviter la culture simultanée des plants hôtes.
- La rotation des cultures est recommandée
- Elimination des plants hôtes sauvages qui servent des foyers
- Après récolte,  il faut  enlever les résidus des plants hôtes.
- Effectuer les mesures sanitations  avant et pendant la saison
Moyens curatifs
-Utilisation d’insecticides naturels : 
-pulvérisation des extraits de feuille de Neem 
-application des poudres de piments et cendre 
-application d’insecticides chimiques homologués sur CLA
</t>
    </r>
    <r>
      <rPr>
        <b/>
        <sz val="12"/>
        <color rgb="FFFF0000"/>
        <rFont val="Calibri"/>
        <family val="2"/>
      </rPr>
      <t>Chilopartellus, (Borer ponctué/Borera)</t>
    </r>
    <r>
      <rPr>
        <sz val="12"/>
        <color rgb="FFFF0000"/>
        <rFont val="Calibri"/>
        <family val="2"/>
      </rPr>
      <t xml:space="preserve">
Moyens préventifs: 
-Utilisation des variétés des plants précoces, résistants, et tolérantes
-Eviter de planter les mêmes plantes hôtes de Chilopartellus  sur une même parcelle
-La rotation des cultures est recommandée
-Association Mais –Niébé
-Elimination des plants hôtes sauvages qui servent des foyers (presque toutes les graminées).
-Après récolte,  il faut  enlever les résidus des plants hôtes. 
Moyens curatifs
-Ramassage manuel des insectes ravageurs dès le début d’infestation pour éviter leur propagation. 
-Utilisation d’un mélange de poudre de neem et sciure 
-Utilisation d’insecticide chimique homologué
</t>
    </r>
    <r>
      <rPr>
        <b/>
        <sz val="12"/>
        <color rgb="FFFF0000"/>
        <rFont val="Calibri"/>
        <family val="2"/>
      </rPr>
      <t>Spodoptera littoralis (Ver du cotonnier/Olitra)</t>
    </r>
    <r>
      <rPr>
        <sz val="12"/>
        <color rgb="FFFF0000"/>
        <rFont val="Calibri"/>
        <family val="2"/>
      </rPr>
      <t xml:space="preserve">
Moyens préventifs: 
-Eviter la culture d’une même famille  sur une même parcelle
-La rotation des cultures est recommandée
-Elimination des plants hôtes sauvages qui servent des foyers (presque toutes les graminées).
-Destruction des résidus des plants hôtes.
Moyens curatifs
-Ramassage manuel des insectes ravageurs dès le début   d’infestation pour éviter leur propagation. 
-Utilisation des extraits des feuilles de Neem
-Utilisation d’insecticides chimiques homologués
</t>
    </r>
    <r>
      <rPr>
        <b/>
        <sz val="12"/>
        <color rgb="FFFF0000"/>
        <rFont val="Calibri"/>
        <family val="2"/>
      </rPr>
      <t>Helicoverpa armigera (vers des capsules/olitra)</t>
    </r>
    <r>
      <rPr>
        <sz val="12"/>
        <color rgb="FFFF0000"/>
        <rFont val="Calibri"/>
        <family val="2"/>
      </rPr>
      <t xml:space="preserve">
Moyens préventifs: 
-Utilisation des variétés des plants précoces, résistants, et tolérantes.
- Labour ou binage pour éliminer les chenilles et chrysalides qui se trouvent dans le sol
- Eviter la culture simultanée des plants hôtes.
- La rotation des cultures est recommandée
- Elimination des plants hôtes sauvages qui servent des foyers
- Après récolte, il faut enlever les résidus des plants hôtes. 
- Effectuer les mesures sanitations  avant et pendant la saison
Moyens curatifs
- Utilisation des feuilles de Neem
-utilisation d’insecticides chimiques homologués
</t>
    </r>
    <r>
      <rPr>
        <b/>
        <sz val="12"/>
        <color rgb="FFFF0000"/>
        <rFont val="Calibri"/>
        <family val="2"/>
      </rPr>
      <t xml:space="preserve">Rhopalosiphum maidis (pucerons/tamenaka-tsonika)  </t>
    </r>
    <r>
      <rPr>
        <sz val="12"/>
        <color rgb="FFFF0000"/>
        <rFont val="Calibri"/>
        <family val="2"/>
      </rPr>
      <t xml:space="preserve">
Moyens préventifs: 
-Eviter de planter les plantes hôtes de R maidis
-Après récolte, il faut enlever /détruire les résidus récoltes.
-Destruction manuelle des colonies des pucerons 
Moyens curatifs
-Utilisation de savon local (savony gasy)  
-Utilisation des feuilles de Neem.  
-Utilisation de poudre de piment
-Application des  produits chimiques adéquats</t>
    </r>
  </si>
  <si>
    <r>
      <t xml:space="preserve">Année d'obtention : 1984; Année de diffusion: 1990 ; originaire de Côte d’Ivoire, </t>
    </r>
    <r>
      <rPr>
        <sz val="12"/>
        <color rgb="FFFF0000"/>
        <rFont val="Calibri"/>
        <family val="2"/>
      </rPr>
      <t>Nature génétique : composite amélioré,</t>
    </r>
    <r>
      <rPr>
        <sz val="12"/>
        <color theme="1"/>
        <rFont val="Calibri"/>
        <family val="2"/>
      </rPr>
      <t xml:space="preserve"> </t>
    </r>
    <r>
      <rPr>
        <sz val="12"/>
        <color rgb="FFFF0000"/>
        <rFont val="Calibri"/>
        <family val="2"/>
      </rPr>
      <t xml:space="preserve">mainteneur : FOFIFA, 
mode d'obtention : issu de la population 28 CIMMYT Amarillo Dentado (composantes latino 
américaine), sélection récurrente pour les zones d’altitude intermédiaire de  
Madagascar </t>
    </r>
  </si>
  <si>
    <r>
      <t xml:space="preserve">Tolérance avec la température élevée 
</t>
    </r>
    <r>
      <rPr>
        <sz val="12"/>
        <color rgb="FFFF0000"/>
        <rFont val="Calibri"/>
        <family val="2"/>
      </rPr>
      <t xml:space="preserve">Température de germination : 10°C–15°C
Température optimum pendant la croissance développement : 30°C–32°C, pas moins de 23°C
</t>
    </r>
  </si>
  <si>
    <r>
      <rPr>
        <sz val="12"/>
        <color rgb="FFFF0000"/>
        <rFont val="Calibri"/>
        <family val="2"/>
      </rPr>
      <t>Réaliser les semis immédiatement après la pluie. Semer à une 
profondeur de 2 à 3 cm, avec 3 à 4 grains par poquet, en lignes de 
50 cm X 80 cm.</t>
    </r>
    <r>
      <rPr>
        <sz val="12"/>
        <color theme="1"/>
        <rFont val="Calibri"/>
        <family val="2"/>
      </rPr>
      <t xml:space="preserve">  
Entre octobre et décembre 
</t>
    </r>
    <r>
      <rPr>
        <sz val="12"/>
        <color rgb="FFFF0000"/>
        <rFont val="Calibri"/>
        <family val="2"/>
      </rPr>
      <t>Grande saison : Septembre-Janvier
Inter-saison : Février-Mars-Avril 
Contre saison : Mai-Juin-Juillet</t>
    </r>
    <r>
      <rPr>
        <sz val="12"/>
        <color theme="1"/>
        <rFont val="Calibri"/>
        <family val="2"/>
      </rPr>
      <t xml:space="preserve">
</t>
    </r>
  </si>
  <si>
    <r>
      <t xml:space="preserve">Entre Mars et Avril 
</t>
    </r>
    <r>
      <rPr>
        <sz val="12"/>
        <color rgb="FFFF0000"/>
        <rFont val="Calibri"/>
        <family val="2"/>
      </rPr>
      <t>La maturité des grains est reconnue par l’apparition d’un point noir àa la base du grain en bas de la panicule. Le grain est dur et ne peut pas être écrasé à la main et ou être rayé à l’ongle.</t>
    </r>
  </si>
  <si>
    <r>
      <rPr>
        <sz val="12"/>
        <color rgb="FFFF0000"/>
        <rFont val="Calibri"/>
        <family val="2"/>
      </rPr>
      <t>✔Bien nettoyer le sol (enlever les arbres, arbustes : défrichage et dessouchage) 
✔Apres nettoyage, on procède à l’épandage de la fumure de fond (fumure organique bien décomposée avec une dose d’au moins 5t/ha) et bien enfouir les résidus de récoltes.
✔Labourer et ameublir le sol sur 25 à 30 cm de profondeur. 
✔Le pulvérisage/ hersage est à faire pour briser les mottes est à faire avec beaucoup d’attention pour favoriser l’émergence des plantules.
✔Il est nécessaire d’enfouir les résidus de récoltes lors du labour</t>
    </r>
    <r>
      <rPr>
        <sz val="12"/>
        <color theme="1"/>
        <rFont val="Calibri"/>
        <family val="2"/>
      </rPr>
      <t xml:space="preserve"> </t>
    </r>
  </si>
  <si>
    <r>
      <t xml:space="preserve">Tolérance avec la température élevée 
</t>
    </r>
    <r>
      <rPr>
        <sz val="12"/>
        <color rgb="FFFF0000"/>
        <rFont val="Calibri"/>
        <family val="2"/>
      </rPr>
      <t>Température de germination : 10°C–15°C
Température optimum pendant la croissance développement : 25°C–35°C</t>
    </r>
  </si>
  <si>
    <r>
      <t xml:space="preserve">Mars à Avril
</t>
    </r>
    <r>
      <rPr>
        <sz val="12"/>
        <color rgb="FFFF0000"/>
        <rFont val="Calibri"/>
        <family val="2"/>
      </rPr>
      <t>La maturité des grains est reconnue par l’apparition d’un point noir àa la base du grain en bas de la panicule. Le grain est dur et ne peut pas être écrasé à la main et ou être rayé à l’ongle.</t>
    </r>
  </si>
  <si>
    <r>
      <t xml:space="preserve">Entre Avril et Juin 
</t>
    </r>
    <r>
      <rPr>
        <sz val="12"/>
        <color rgb="FFFF0000"/>
        <rFont val="Calibri"/>
        <family val="2"/>
      </rPr>
      <t>La maturité des grains est reconnue par l’apparition d’un point noir àa la base du grain en bas de la panicule. Le grain est dur et ne peut pas être écrasé à la main et ou être rayé à l’ongle.</t>
    </r>
  </si>
  <si>
    <r>
      <t xml:space="preserve">Le chou pommé est un légume originaire d'Europe. Il se caractérise par une tête dense et arrondie, compossée de feuilles serrées les unes contre les autres. Cette variété peut atteindre un diamètre de 20 à 50cm et un poids allant de 1 à 3Kg. Il est très apprécié en cuisine, et constitue une source de vitamines ainsi que de minéreaux comme le calcium et le fer. Son développement se déroule idéalement dans les zones à hautes altitudes.
</t>
    </r>
    <r>
      <rPr>
        <sz val="12"/>
        <color rgb="FFFF0000"/>
        <rFont val="Calibri"/>
        <family val="2"/>
      </rPr>
      <t>Il figure parmi les produits maraîchers assez courants, étant
en 7ème place parmi les produits maraîchers les plus fréquemment achetés
par les ménages malagasy.</t>
    </r>
  </si>
  <si>
    <r>
      <t>Sol riche en soufre</t>
    </r>
    <r>
      <rPr>
        <sz val="12"/>
        <color rgb="FFFF0000"/>
        <rFont val="Calibri"/>
        <family val="2"/>
      </rPr>
      <t xml:space="preserve"> et azote,</t>
    </r>
    <r>
      <rPr>
        <sz val="12"/>
        <color theme="1"/>
        <rFont val="Calibri"/>
        <family val="2"/>
      </rPr>
      <t xml:space="preserve"> matières organiques avec un Ph= 6,5 à 7,5</t>
    </r>
  </si>
  <si>
    <r>
      <rPr>
        <b/>
        <sz val="12"/>
        <color theme="9" tint="-0.249977111117893"/>
        <rFont val="Calibri"/>
        <family val="2"/>
      </rPr>
      <t>2 à 3mm / jour</t>
    </r>
    <r>
      <rPr>
        <sz val="12"/>
        <color theme="9" tint="-0.249977111117893"/>
        <rFont val="Calibri"/>
        <family val="2"/>
      </rPr>
      <t xml:space="preserve"> pendant un mois.                                       </t>
    </r>
    <r>
      <rPr>
        <b/>
        <sz val="12"/>
        <color theme="9" tint="-0.249977111117893"/>
        <rFont val="Calibri"/>
        <family val="2"/>
      </rPr>
      <t>3 à 4mm / jour</t>
    </r>
    <r>
      <rPr>
        <sz val="12"/>
        <color theme="9" tint="-0.249977111117893"/>
        <rFont val="Calibri"/>
        <family val="2"/>
      </rPr>
      <t xml:space="preserve"> jusqu'à la récolte.</t>
    </r>
  </si>
  <si>
    <r>
      <rPr>
        <sz val="12"/>
        <color rgb="FFFF0000"/>
        <rFont val="Calibri"/>
        <family val="2"/>
      </rPr>
      <t>Préparer le terrain pour repiquer les plants issus de la pépinière</t>
    </r>
    <r>
      <rPr>
        <sz val="12"/>
        <color theme="1"/>
        <rFont val="Calibri"/>
        <family val="2"/>
      </rPr>
      <t xml:space="preserve">
Décompacter , drainer et  amender avec des fumures organiques
</t>
    </r>
    <r>
      <rPr>
        <sz val="12"/>
        <color rgb="FFFF0000"/>
        <rFont val="Calibri"/>
        <family val="2"/>
      </rPr>
      <t>Ameublir finement pou obtenir une surface grumeleuse et bien rappuyée</t>
    </r>
  </si>
  <si>
    <r>
      <t xml:space="preserve">
</t>
    </r>
    <r>
      <rPr>
        <sz val="12"/>
        <color rgb="FFFF0000"/>
        <rFont val="Calibri"/>
        <family val="2"/>
      </rPr>
      <t xml:space="preserve">- Remplacement des manquants 
- Sarclage et binage réguliers 
- Buttages fréquents dès le début de la pommaison car la plante a tendance à se déchausser
 - Arrosage au pied de la plante afin d'éviter la pourriture du cœur. </t>
    </r>
  </si>
  <si>
    <r>
      <rPr>
        <b/>
        <sz val="12"/>
        <color rgb="FFFF0000"/>
        <rFont val="Calibri"/>
        <family val="2"/>
      </rPr>
      <t>FONTE DE SEMIS : Botrytis CINEREA
 Mort des plantules en pépinière</t>
    </r>
    <r>
      <rPr>
        <sz val="12"/>
        <color rgb="FFFF0000"/>
        <rFont val="Calibri"/>
        <family val="2"/>
      </rPr>
      <t xml:space="preserve">
 Lutte:  Désinfecter les semences avec du Dithane M45 avant le repiquage
</t>
    </r>
    <r>
      <rPr>
        <b/>
        <sz val="12"/>
        <color rgb="FFFF0000"/>
        <rFont val="Calibri"/>
        <family val="2"/>
      </rPr>
      <t>HERNIE DU CRUCIFERE : Champignon du sol, Pied noir</t>
    </r>
    <r>
      <rPr>
        <sz val="12"/>
        <color rgb="FFFF0000"/>
        <rFont val="Calibri"/>
        <family val="2"/>
      </rPr>
      <t xml:space="preserve">
 Lutte:
- Respecter les conditions d’établissement des pépinières
- Introduire des graminées dans la rotation
- Tremper les plants dans une solution de 
 - méthyl
</t>
    </r>
    <r>
      <rPr>
        <b/>
        <sz val="12"/>
        <color rgb="FFFF0000"/>
        <rFont val="Calibri"/>
        <family val="2"/>
      </rPr>
      <t>Champignon des organes foliaires :Mildiou des crucifères, Alténariose, maladie des taches noires, Rouille blanche des crucifères, pourriture grise</t>
    </r>
    <r>
      <rPr>
        <sz val="12"/>
        <color rgb="FFFF0000"/>
        <rFont val="Calibri"/>
        <family val="2"/>
      </rPr>
      <t xml:space="preserve">
Lutte 
- Pulvériser dès la levée, à renouveler tous les 8-10 jours avec du chlorotatonil, ou du cymoxamil+ mancozèbe
- Traîtement des semences par enrobage (ex ipodione)
-Traîtement porte-graine avec du carbendazime + Ipodione
-Traîtement en culture
</t>
    </r>
    <r>
      <rPr>
        <b/>
        <sz val="12"/>
        <color rgb="FFFF0000"/>
        <rFont val="Calibri"/>
        <family val="2"/>
      </rPr>
      <t>Maladies bactériennes : Nervation Noire des crucifères pourriture de la tige</t>
    </r>
    <r>
      <rPr>
        <sz val="12"/>
        <color rgb="FFFF0000"/>
        <rFont val="Calibri"/>
        <family val="2"/>
      </rPr>
      <t xml:space="preserve">
 Lutte 
- Utiliser des semences saines
- Modérer les apports d’azote
</t>
    </r>
    <r>
      <rPr>
        <b/>
        <sz val="12"/>
        <color rgb="FFFF0000"/>
        <rFont val="Calibri"/>
        <family val="2"/>
      </rPr>
      <t>Viroses : Mosaïque du chou-fleur</t>
    </r>
    <r>
      <rPr>
        <sz val="12"/>
        <color rgb="FFFF0000"/>
        <rFont val="Calibri"/>
        <family val="2"/>
      </rPr>
      <t xml:space="preserve">
 Lutte Triage des plants
</t>
    </r>
  </si>
  <si>
    <r>
      <t>Ra</t>
    </r>
    <r>
      <rPr>
        <sz val="12"/>
        <color rgb="FFFF0000"/>
        <rFont val="Calibri"/>
        <family val="2"/>
      </rPr>
      <t>vageurs des racines, du collet et de la tige :  Charançon gallicole du chou
 Lutte 
- enrobage des semences et/ou incorporation d’un insecticide de microgranulé au lit de semis (ex:chlorfenvinphos)
- Triage des plants
Mouche de chou
 Lutte 
- Triage  des plants en culture diazinon
- Traîtement avec du benfuracarbe, carbofuran
Nématodes
 Lutte - Adapter les méthodes générales de lutte à la situation
Insectes
 Lutte 
- Lutte précoce dès le dépôt des oeufs (par produitt à action ovicide) ou à l’éclosion des
 larves
- Traîter le soir de préférence
Laves
 Lutte 
Pratiques paysannes (pour 1 are)
- creuser un trou de 0,5 m x 0,5 x 0,5
- y tasser les pailles et brûler
- y verser de l’eau- arroser les choux chaque semaine  avec cette eau</t>
    </r>
    <r>
      <rPr>
        <sz val="12"/>
        <color theme="1"/>
        <rFont val="Calibri"/>
        <family val="2"/>
      </rPr>
      <t xml:space="preserve">
</t>
    </r>
  </si>
  <si>
    <r>
      <t>La carotte nantaise est une plante de la famille des Apiacées  originaire de Nantes en Frances. Elle est une variété de carotte cara</t>
    </r>
    <r>
      <rPr>
        <sz val="12"/>
        <color rgb="FFFF0000"/>
        <rFont val="Calibri"/>
        <family val="2"/>
      </rPr>
      <t>ct</t>
    </r>
    <r>
      <rPr>
        <sz val="12"/>
        <color theme="1"/>
        <rFont val="Calibri"/>
        <family val="2"/>
      </rPr>
      <t>érisée par une forme conique, demi-longue et bien épaisse  mésurant de 10 à 15cm de long. Sa racine est d'une couleur orange avec une peau lisse. Le feuillage en forme de plumeuse ou découpée est évasé constitué de feuilles vertes dentelées. Cette variété se distingue par sa douceur et son goût sucré.</t>
    </r>
  </si>
  <si>
    <r>
      <t>Pas d'exigence</t>
    </r>
    <r>
      <rPr>
        <sz val="12"/>
        <color rgb="FFFF0000"/>
        <rFont val="Calibri"/>
        <family val="2"/>
      </rPr>
      <t xml:space="preserve"> mais elle donne son meilleur rendement en région d'altitude, à partir de 800 m comme </t>
    </r>
    <r>
      <rPr>
        <sz val="12"/>
        <color theme="1"/>
        <rFont val="Calibri"/>
        <family val="2"/>
      </rPr>
      <t>Vakinankaratra, Antananarivo, Fianarantsoa , Antsiranana II</t>
    </r>
  </si>
  <si>
    <r>
      <rPr>
        <sz val="12"/>
        <color rgb="FFFF0000"/>
        <rFont val="Calibri"/>
        <family val="2"/>
      </rPr>
      <t xml:space="preserve"> Se cultive dans toute l'île, à 500 - 1.300 m d'altitude mais Idéale à A</t>
    </r>
    <r>
      <rPr>
        <sz val="12"/>
        <color theme="1"/>
        <rFont val="Calibri"/>
        <family val="2"/>
      </rPr>
      <t>mbatomanoina, Mampikony, Bealalana et Manja</t>
    </r>
  </si>
  <si>
    <r>
      <t>Sol argilo-sableux ou alluvionnaire avec pH= 6,5
Sol qui se ressuie et se rechauffe rapidement, eviter le sol à précédent cultura</t>
    </r>
    <r>
      <rPr>
        <sz val="12"/>
        <color rgb="FFFF0000"/>
        <rFont val="Calibri"/>
        <family val="2"/>
      </rPr>
      <t>l de la mêm</t>
    </r>
    <r>
      <rPr>
        <sz val="12"/>
        <color theme="1"/>
        <rFont val="Calibri"/>
        <family val="2"/>
      </rPr>
      <t>e famille que l'oignon (ex: poireau, ciboulette)</t>
    </r>
  </si>
  <si>
    <r>
      <rPr>
        <b/>
        <sz val="12"/>
        <color theme="1"/>
        <rFont val="Calibri"/>
        <family val="2"/>
      </rPr>
      <t>Pépinière</t>
    </r>
    <r>
      <rPr>
        <sz val="12"/>
        <color theme="1"/>
        <rFont val="Calibri"/>
        <family val="2"/>
      </rPr>
      <t xml:space="preserve">: Faire un labour de 30cm de profondeur  avec un apport d'engrais organique de 5-10cm de profondeur, enlever les mauvaises herbes  aux alentours, recouvrir la parcelle de paille bien séchée.                                                        
</t>
    </r>
    <r>
      <rPr>
        <b/>
        <sz val="12"/>
        <color theme="1"/>
        <rFont val="Calibri"/>
        <family val="2"/>
      </rPr>
      <t>Mise en place  plantation</t>
    </r>
    <r>
      <rPr>
        <sz val="12"/>
        <color theme="1"/>
        <rFont val="Calibri"/>
        <family val="2"/>
      </rPr>
      <t>: Labourer le sol 1 mois avant la  transplantation  à une profondeur de 30cm. Bien affiner la surface du sol: mottes de 15mm de diamètres, Apport de fumier décomposé ou compost à raison de 2m</t>
    </r>
    <r>
      <rPr>
        <vertAlign val="superscript"/>
        <sz val="12"/>
        <color theme="1"/>
        <rFont val="Calibri"/>
        <family val="2"/>
      </rPr>
      <t>3/</t>
    </r>
    <r>
      <rPr>
        <sz val="12"/>
        <color theme="1"/>
        <rFont val="Calibri"/>
        <family val="2"/>
      </rPr>
      <t>/ are, maintenir l'humidité du sol pendant les 15 derniers jours avant semis.</t>
    </r>
  </si>
  <si>
    <r>
      <rPr>
        <b/>
        <sz val="12"/>
        <color theme="1"/>
        <rFont val="Calibri"/>
        <family val="2"/>
      </rPr>
      <t>Pendant la pépinière:</t>
    </r>
    <r>
      <rPr>
        <sz val="12"/>
        <color theme="1"/>
        <rFont val="Calibri"/>
        <family val="2"/>
      </rPr>
      <t xml:space="preserve"> Sarcler et biner, arroser régulièrement en petite dose, épander d'urée si le sol présente des carences.                                              </t>
    </r>
    <r>
      <rPr>
        <b/>
        <sz val="12"/>
        <color theme="1"/>
        <rFont val="Calibri"/>
        <family val="2"/>
      </rPr>
      <t xml:space="preserve">Après la transplantation: </t>
    </r>
    <r>
      <rPr>
        <sz val="12"/>
        <color theme="1"/>
        <rFont val="Calibri"/>
        <family val="2"/>
      </rPr>
      <t>Transplanter après 45 jours avec un espacement de 15cm x 15cm, enterrer faiblement les plants (jusqu'au collet),  Arroser régulièrement avec petite dose 2 fois par semaine jusqu'à la levée des bulbes, surveiller le développement de la plante.</t>
    </r>
  </si>
  <si>
    <r>
      <t xml:space="preserve">Apport de fumier en 3 étapes :
</t>
    </r>
    <r>
      <rPr>
        <b/>
        <sz val="12"/>
        <color rgb="FFFF0000"/>
        <rFont val="Calibri"/>
        <family val="2"/>
      </rPr>
      <t xml:space="preserve"> lors de la préparation de la pépinière:</t>
    </r>
    <r>
      <rPr>
        <sz val="12"/>
        <color rgb="FFFF0000"/>
        <rFont val="Calibri"/>
        <family val="2"/>
      </rPr>
      <t xml:space="preserve">
- urée, 10 g/m2 de pépinière
- K2SO4, 3g/m2
 </t>
    </r>
    <r>
      <rPr>
        <b/>
        <sz val="12"/>
        <color rgb="FFFF0000"/>
        <rFont val="Calibri"/>
        <family val="2"/>
      </rPr>
      <t>10 jours avant transplantation: (pour 1 are)</t>
    </r>
    <r>
      <rPr>
        <sz val="12"/>
        <color rgb="FFFF0000"/>
        <rFont val="Calibri"/>
        <family val="2"/>
      </rPr>
      <t xml:space="preserve">
- 4,5 kg de NPK (11.22.16)
- 560 g de K2SO4
- 1,2 kg d'urée
- Dolomie 2,7 kg
</t>
    </r>
    <r>
      <rPr>
        <b/>
        <sz val="12"/>
        <color rgb="FFFF0000"/>
        <rFont val="Calibri"/>
        <family val="2"/>
      </rPr>
      <t xml:space="preserve"> début bulbaison: </t>
    </r>
    <r>
      <rPr>
        <sz val="12"/>
        <color rgb="FFFF0000"/>
        <rFont val="Calibri"/>
        <family val="2"/>
      </rPr>
      <t xml:space="preserve">(pour 1 are)- 2 kg de K2SO4- 0,6 kg d'uré
Soit Soit </t>
    </r>
    <r>
      <rPr>
        <b/>
        <sz val="12"/>
        <color rgb="FFFF0000"/>
        <rFont val="Calibri"/>
        <family val="2"/>
      </rPr>
      <t>3Kg/ha d'urée, 2.58 Kg/Ha de K2SO4, 17.1Kg/Ha de NPK, 8.1Kg/Ha de dolomie sur la pépinière
Apres la transplantation, 200 Kg/Ha de K2SO4 et 60Kg/Ha d'urée</t>
    </r>
    <r>
      <rPr>
        <sz val="12"/>
        <color rgb="FFFF0000"/>
        <rFont val="Calibri"/>
        <family val="2"/>
      </rPr>
      <t xml:space="preserve">
</t>
    </r>
  </si>
  <si>
    <r>
      <rPr>
        <b/>
        <sz val="12"/>
        <color rgb="FFFF0000"/>
        <rFont val="Calibri"/>
        <family val="2"/>
      </rPr>
      <t xml:space="preserve">Mildiou, Botrytis, Alternariose </t>
    </r>
    <r>
      <rPr>
        <sz val="12"/>
        <color rgb="FFFF0000"/>
        <rFont val="Calibri"/>
        <family val="2"/>
      </rPr>
      <t>Traitement en fongicide obligatoire :
- Traitement une fois avec PENNCONZEBE à la pépinière (stade de 2 feuilles).
- Traitement tous les 7 à 10 jours avec PENNCONZEBE (2,5 kg/ha)- PENNCONZEBE, CUPROFIX (5kg/ha).
- Utiliser le PELTAR FLO (5l/ha) : traitement Curatif</t>
    </r>
  </si>
  <si>
    <r>
      <t xml:space="preserve"> </t>
    </r>
    <r>
      <rPr>
        <b/>
        <sz val="12"/>
        <color rgb="FFFF0000"/>
        <rFont val="Calibri"/>
        <family val="2"/>
      </rPr>
      <t>Thrips, Teignes et Insectes défoliateurs</t>
    </r>
    <r>
      <rPr>
        <sz val="12"/>
        <color rgb="FFFF0000"/>
        <rFont val="Calibri"/>
        <family val="2"/>
      </rPr>
      <t xml:space="preserve">
 Traitement en insecticide obligatoire :
- Traitement avec SALUT : contre les Thrips.
 - Traitement AKITO 5 EC ou DELTAGRI : contre  les  Teignes et les Insectes
 défoliateurs</t>
    </r>
  </si>
  <si>
    <r>
      <rPr>
        <b/>
        <sz val="12"/>
        <color rgb="FFFF0000"/>
        <rFont val="Calibri"/>
        <family val="2"/>
      </rPr>
      <t>FONTE DES SEMIS</t>
    </r>
    <r>
      <rPr>
        <sz val="12"/>
        <color rgb="FFFF0000"/>
        <rFont val="Calibri"/>
        <family val="2"/>
      </rPr>
      <t xml:space="preserve">
Champignon du sol favorisé par l’humidité, le froid, l’asphyxie
 Lutte: Traîter systématique des semences avec du dichlofenthion + thirame en
 enrobage à sec à raison de 4kg/t de semences
</t>
    </r>
    <r>
      <rPr>
        <b/>
        <sz val="12"/>
        <color rgb="FFFF0000"/>
        <rFont val="Calibri"/>
        <family val="2"/>
      </rPr>
      <t>BOTRYTIS</t>
    </r>
    <r>
      <rPr>
        <sz val="12"/>
        <color rgb="FFFF0000"/>
        <rFont val="Calibri"/>
        <family val="2"/>
      </rPr>
      <t xml:space="preserve">
 (ou pourriture grise: favorisé par un temps humide et  température douce 15 à 20°C)
 Lutte préventive : en début de floraison et en grossissement des gousses avec
 Iprodione, la  procymidone,  vinchlozaline en alternance
</t>
    </r>
    <r>
      <rPr>
        <b/>
        <sz val="12"/>
        <color rgb="FFFF0000"/>
        <rFont val="Calibri"/>
        <family val="2"/>
      </rPr>
      <t>Bactériose à Halo, graisse à Halo</t>
    </r>
    <r>
      <rPr>
        <sz val="12"/>
        <color rgb="FFFF0000"/>
        <rFont val="Calibri"/>
        <family val="2"/>
      </rPr>
      <t xml:space="preserve">
Taches noirâtres entourées d’un halo jaune d’environ 1 cm, jaunissement des feuilles,
 taches graisseuses sur les gousses en  t° fraiche  (18°C) et humide saturante
 Lutte
Semences sains 
Variétés tolérantes 
Eviter les parcelles mal ventilées
Détruire les plants
Rotation d’au moins 3 ans
</t>
    </r>
    <r>
      <rPr>
        <b/>
        <sz val="12"/>
        <color rgb="FFFF0000"/>
        <rFont val="Calibri"/>
        <family val="2"/>
      </rPr>
      <t xml:space="preserve">
Rouille commune du haricot</t>
    </r>
    <r>
      <rPr>
        <sz val="12"/>
        <color rgb="FFFF0000"/>
        <rFont val="Calibri"/>
        <family val="2"/>
      </rPr>
      <t xml:space="preserve">
petites pistules jaunes devenant des masses de spores brun rouge. Les feuilles se déssèchent et tombent. Les gousses sont parfois attaqués
Lutte
- Eviter de cultiver dans des cuvette mal aérées
- Eviter d’arroser le soir ou la nuit
- Bien équilibrer les fumures
- Détruire les résidus de culture</t>
    </r>
  </si>
  <si>
    <r>
      <rPr>
        <b/>
        <sz val="12"/>
        <color rgb="FFFF0000"/>
        <rFont val="Calibri"/>
        <family val="2"/>
      </rPr>
      <t>chenilles diverses :</t>
    </r>
    <r>
      <rPr>
        <sz val="12"/>
        <color rgb="FFFF0000"/>
        <rFont val="Calibri"/>
        <family val="2"/>
      </rPr>
      <t xml:space="preserve"> qui rongent le limbe des feuilles et minent l'intérieur des gousses. 
Traitement : décis. 15 à 20 CC/10 L d'eau 
" cigarier : qui perfore le limbe des feuilles et enroule une partie de ce limbe en forme de 
cigare 
" </t>
    </r>
    <r>
      <rPr>
        <b/>
        <sz val="12"/>
        <color rgb="FFFF0000"/>
        <rFont val="Calibri"/>
        <family val="2"/>
      </rPr>
      <t xml:space="preserve">pucerons </t>
    </r>
    <r>
      <rPr>
        <sz val="12"/>
        <color rgb="FFFF0000"/>
        <rFont val="Calibri"/>
        <family val="2"/>
      </rPr>
      <t xml:space="preserve">: qui piquent le limbe des feuilles et les jeunes pousses. 
Traitement : Dimethoate 
30 à 40 cc/10 L d'eau 
</t>
    </r>
    <r>
      <rPr>
        <b/>
        <sz val="12"/>
        <color rgb="FFFF0000"/>
        <rFont val="Calibri"/>
        <family val="2"/>
      </rPr>
      <t xml:space="preserve">" mouche du haricot : </t>
    </r>
    <r>
      <rPr>
        <sz val="12"/>
        <color rgb="FFFF0000"/>
        <rFont val="Calibri"/>
        <family val="2"/>
      </rPr>
      <t xml:space="preserve">qui pond dans les tissus des jeunes plantules, ce qui provoque le 
jaunissement et le ramollissement des 2 premières feuilles. Les larves minent les feuilles et la 
tige, jusqu'au collet - la plante meurt. Traitement : Dimethoate 15 cc/10 L d'eau 
</t>
    </r>
    <r>
      <rPr>
        <b/>
        <sz val="12"/>
        <color rgb="FFFF0000"/>
        <rFont val="Calibri"/>
        <family val="2"/>
      </rPr>
      <t>" coléoptères divers</t>
    </r>
    <r>
      <rPr>
        <sz val="12"/>
        <color rgb="FFFF0000"/>
        <rFont val="Calibri"/>
        <family val="2"/>
      </rPr>
      <t xml:space="preserve"> : qui rongent le limbe des feuilles 
"</t>
    </r>
    <r>
      <rPr>
        <b/>
        <sz val="12"/>
        <color rgb="FFFF0000"/>
        <rFont val="Calibri"/>
        <family val="2"/>
      </rPr>
      <t xml:space="preserve"> punaises </t>
    </r>
    <r>
      <rPr>
        <sz val="12"/>
        <color rgb="FFFF0000"/>
        <rFont val="Calibri"/>
        <family val="2"/>
      </rPr>
      <t xml:space="preserve">: qui piquent les jeunes pousses et les feuilles 
</t>
    </r>
    <r>
      <rPr>
        <b/>
        <sz val="12"/>
        <color rgb="FFFF0000"/>
        <rFont val="Calibri"/>
        <family val="2"/>
      </rPr>
      <t>" bruches :</t>
    </r>
    <r>
      <rPr>
        <sz val="12"/>
        <color rgb="FFFF0000"/>
        <rFont val="Calibri"/>
        <family val="2"/>
      </rPr>
      <t xml:space="preserve"> dont les larves rongent l'intérieur de graines stockées. Traitement : Dimethoate 1O 
cc/1O L d'eau 
</t>
    </r>
    <r>
      <rPr>
        <b/>
        <sz val="12"/>
        <color rgb="FFFF0000"/>
        <rFont val="Calibri"/>
        <family val="2"/>
      </rPr>
      <t xml:space="preserve">" charançons </t>
    </r>
    <r>
      <rPr>
        <sz val="12"/>
        <color rgb="FFFF0000"/>
        <rFont val="Calibri"/>
        <family val="2"/>
      </rPr>
      <t xml:space="preserve">: qui rongent l'intérieur des graines stockées. Précaution : ne pas traiter 15 jours 
avant la récolte. </t>
    </r>
  </si>
  <si>
    <r>
      <t xml:space="preserve">Haricot </t>
    </r>
    <r>
      <rPr>
        <sz val="12"/>
        <color rgb="FFFF0000"/>
        <rFont val="Calibri"/>
        <family val="2"/>
      </rPr>
      <t>Mangetout</t>
    </r>
  </si>
  <si>
    <r>
      <t xml:space="preserve">
</t>
    </r>
    <r>
      <rPr>
        <sz val="12"/>
        <color rgb="FFFF0000"/>
        <rFont val="Calibri"/>
        <family val="2"/>
      </rPr>
      <t>Le haricot est indifférent à l'altitude : pousse aussi bien sur les Hauts-Plateaux qu'au niveau de la mer.</t>
    </r>
    <r>
      <rPr>
        <sz val="12"/>
        <color theme="1"/>
        <rFont val="Calibri"/>
        <family val="2"/>
      </rPr>
      <t xml:space="preserve">
</t>
    </r>
    <r>
      <rPr>
        <sz val="12"/>
        <color rgb="FFFF0000"/>
        <rFont val="Calibri"/>
        <family val="2"/>
      </rPr>
      <t xml:space="preserve">Mange tout : </t>
    </r>
    <r>
      <rPr>
        <sz val="12"/>
        <color theme="1"/>
        <rFont val="Calibri"/>
        <family val="2"/>
      </rPr>
      <t xml:space="preserve">Idéale dans les Hautes Terres Centrales et au province de Toliara: Toliara, Morondava, Taolagnaro, Tsivory </t>
    </r>
  </si>
  <si>
    <r>
      <rPr>
        <sz val="12"/>
        <color rgb="FFFF0000"/>
        <rFont val="Calibri"/>
        <family val="2"/>
      </rPr>
      <t>Phaseolus</t>
    </r>
    <r>
      <rPr>
        <sz val="12"/>
        <color rgb="FF000000"/>
        <rFont val="Calibri"/>
        <family val="2"/>
      </rPr>
      <t xml:space="preserve"> Lunatus</t>
    </r>
  </si>
  <si>
    <r>
      <rPr>
        <b/>
        <sz val="12"/>
        <color rgb="FFFF0000"/>
        <rFont val="Calibri"/>
        <family val="2"/>
      </rPr>
      <t>Au niveau de la pépinière:</t>
    </r>
    <r>
      <rPr>
        <sz val="12"/>
        <color rgb="FFFF0000"/>
        <rFont val="Calibri"/>
        <family val="2"/>
      </rPr>
      <t xml:space="preserve">
NPK : 3Kg/are soit 9 Kg pour une pépinière de 300m2
</t>
    </r>
    <r>
      <rPr>
        <b/>
        <sz val="12"/>
        <color rgb="FFFF0000"/>
        <rFont val="Calibri"/>
        <family val="2"/>
      </rPr>
      <t>Apres le repiquage transplantation, 200 Kg/Ha de K2SO4 et 60Kg/Ha d'urée</t>
    </r>
    <r>
      <rPr>
        <sz val="12"/>
        <color rgb="FFFF0000"/>
        <rFont val="Calibri"/>
        <family val="2"/>
      </rPr>
      <t xml:space="preserve">
</t>
    </r>
  </si>
  <si>
    <r>
      <t xml:space="preserve">Tongolo gasy, </t>
    </r>
    <r>
      <rPr>
        <sz val="12"/>
        <color rgb="FFFF0000"/>
        <rFont val="Calibri"/>
        <family val="2"/>
      </rPr>
      <t>Tongolo Lay</t>
    </r>
  </si>
  <si>
    <r>
      <rPr>
        <sz val="12"/>
        <color rgb="FFFF0000"/>
        <rFont val="Calibri"/>
        <family val="2"/>
      </rPr>
      <t>Pas d'exigence
mais idéale dans les</t>
    </r>
    <r>
      <rPr>
        <sz val="12"/>
        <color theme="1"/>
        <rFont val="Calibri"/>
        <family val="2"/>
      </rPr>
      <t xml:space="preserve">
les régions de Vakinankaratra les  Hauts Bassins du Mandrare et la  Basse vallée de Mananara</t>
    </r>
  </si>
  <si>
    <r>
      <rPr>
        <b/>
        <sz val="12"/>
        <color rgb="FFFF0000"/>
        <rFont val="Calibri"/>
        <family val="2"/>
      </rPr>
      <t xml:space="preserve">Fumure de fond : </t>
    </r>
    <r>
      <rPr>
        <sz val="12"/>
        <color rgb="FFFF0000"/>
        <rFont val="Calibri"/>
        <family val="2"/>
      </rPr>
      <t xml:space="preserve">
Mettre 300 Kg/ha de NPK 11
22-16.
</t>
    </r>
    <r>
      <rPr>
        <b/>
        <sz val="12"/>
        <color rgb="FFFF0000"/>
        <rFont val="Calibri"/>
        <family val="2"/>
      </rPr>
      <t>Fumure de couverture</t>
    </r>
    <r>
      <rPr>
        <sz val="12"/>
        <color rgb="FFFF0000"/>
        <rFont val="Calibri"/>
        <family val="2"/>
      </rPr>
      <t xml:space="preserve">
</t>
    </r>
    <r>
      <rPr>
        <b/>
        <sz val="12"/>
        <color rgb="FFFF0000"/>
        <rFont val="Calibri"/>
        <family val="2"/>
      </rPr>
      <t>Urée</t>
    </r>
    <r>
      <rPr>
        <sz val="12"/>
        <color rgb="FFFF0000"/>
        <rFont val="Calibri"/>
        <family val="2"/>
      </rPr>
      <t xml:space="preserve">
 • Apport total : 110 kg/ha, à fractionner en 2 fois : 55 kg/ha
 • 1er apport : 30 jours après plantation
 • 2e apport : 20 jours après le 1er
 </t>
    </r>
    <r>
      <rPr>
        <b/>
        <sz val="12"/>
        <color rgb="FFFF0000"/>
        <rFont val="Calibri"/>
        <family val="2"/>
      </rPr>
      <t>K₂SO₄</t>
    </r>
    <r>
      <rPr>
        <sz val="12"/>
        <color rgb="FFFF0000"/>
        <rFont val="Calibri"/>
        <family val="2"/>
      </rPr>
      <t xml:space="preserve">
 • Apport total : 80 kg/ha, à fractionner également en 2 fois : 40 kg/ha
 • À mélanger avec l’urée ou appliquer séparément</t>
    </r>
  </si>
  <si>
    <r>
      <rPr>
        <sz val="12"/>
        <color rgb="FFFF0000"/>
        <rFont val="Calibri"/>
        <family val="2"/>
      </rPr>
      <t>Pas d'exigence
mais idéale dans le</t>
    </r>
    <r>
      <rPr>
        <sz val="12"/>
        <color theme="1"/>
        <rFont val="Calibri"/>
        <family val="2"/>
      </rPr>
      <t xml:space="preserve">s régions de Vakinankaratra et des </t>
    </r>
    <r>
      <rPr>
        <sz val="12"/>
        <color rgb="FFFF0000"/>
        <rFont val="Calibri"/>
        <family val="2"/>
      </rPr>
      <t>H</t>
    </r>
    <r>
      <rPr>
        <sz val="12"/>
        <color theme="1"/>
        <rFont val="Calibri"/>
        <family val="2"/>
      </rPr>
      <t xml:space="preserve">auts Plateaux </t>
    </r>
  </si>
  <si>
    <r>
      <rPr>
        <b/>
        <sz val="12"/>
        <color rgb="FFFF0000"/>
        <rFont val="Calibri"/>
        <family val="2"/>
      </rPr>
      <t>Au niveau de la pépinière:</t>
    </r>
    <r>
      <rPr>
        <sz val="12"/>
        <color rgb="FFFF0000"/>
        <rFont val="Calibri"/>
        <family val="2"/>
      </rPr>
      <t xml:space="preserve">
NPK : 2Kg/are soit 6 Kg pour une pépinière de 300m2
</t>
    </r>
    <r>
      <rPr>
        <b/>
        <sz val="12"/>
        <color rgb="FFFF0000"/>
        <rFont val="Calibri"/>
        <family val="2"/>
      </rPr>
      <t>Apres le repiquage transplantation, 150 Kg/Ha de K2SO4 et 50Kg/Ha d'urée</t>
    </r>
    <r>
      <rPr>
        <sz val="12"/>
        <color rgb="FFFF0000"/>
        <rFont val="Calibri"/>
        <family val="2"/>
      </rPr>
      <t xml:space="preserve">
</t>
    </r>
  </si>
  <si>
    <r>
      <rPr>
        <sz val="12"/>
        <color rgb="FFFF0000"/>
        <rFont val="Calibri"/>
        <family val="2"/>
      </rPr>
      <t>B</t>
    </r>
    <r>
      <rPr>
        <sz val="12"/>
        <color theme="1"/>
        <rFont val="Calibri"/>
        <family val="2"/>
      </rPr>
      <t>isanuelle</t>
    </r>
  </si>
  <si>
    <r>
      <rPr>
        <sz val="12"/>
        <color rgb="FFFF0000"/>
        <rFont val="Calibri"/>
        <family val="2"/>
      </rPr>
      <t xml:space="preserve"> Altitude : 800-1800m</t>
    </r>
    <r>
      <rPr>
        <sz val="12"/>
        <color theme="1"/>
        <rFont val="Calibri"/>
        <family val="2"/>
      </rPr>
      <t xml:space="preserve">
Hautes terres centrales, Région de Vakinankaratra, Région de Bongolava</t>
    </r>
  </si>
  <si>
    <r>
      <rPr>
        <b/>
        <sz val="12"/>
        <color theme="1"/>
        <rFont val="Calibri"/>
        <family val="2"/>
      </rPr>
      <t xml:space="preserve">Plage optimale de croissance </t>
    </r>
    <r>
      <rPr>
        <sz val="12"/>
        <color theme="1"/>
        <rFont val="Calibri"/>
        <family val="2"/>
      </rPr>
      <t xml:space="preserve"> : 15- 21°C  </t>
    </r>
    <r>
      <rPr>
        <b/>
        <sz val="12"/>
        <color theme="1"/>
        <rFont val="Calibri"/>
        <family val="2"/>
      </rPr>
      <t>Température de germination</t>
    </r>
    <r>
      <rPr>
        <sz val="12"/>
        <color theme="1"/>
        <rFont val="Calibri"/>
        <family val="2"/>
      </rPr>
      <t>: 20°C (durée de germination: 7jours)</t>
    </r>
  </si>
  <si>
    <r>
      <rPr>
        <sz val="12"/>
        <color rgb="FFFF0000"/>
        <rFont val="Calibri"/>
        <family val="2"/>
      </rPr>
      <t>Pépinière obligatoire
Surface de pépinière : 300 m² pour 1 hectare
 • Repiquage après 45–60 jours
 • Espacement : 30 × 30 cm
 • Densité : 110 000 plants/ha</t>
    </r>
    <r>
      <rPr>
        <sz val="12"/>
        <color theme="1"/>
        <rFont val="Calibri"/>
        <family val="2"/>
      </rPr>
      <t xml:space="preserve">
</t>
    </r>
  </si>
  <si>
    <r>
      <rPr>
        <b/>
        <sz val="12"/>
        <color rgb="FFFF0000"/>
        <rFont val="Calibri"/>
        <family val="2"/>
      </rPr>
      <t xml:space="preserve">Engrais de fond </t>
    </r>
    <r>
      <rPr>
        <sz val="12"/>
        <color rgb="FFFF0000"/>
        <rFont val="Calibri"/>
        <family val="2"/>
      </rPr>
      <t xml:space="preserve">: 
NPK 12-22-16 : 300 kg/ha
  </t>
    </r>
    <r>
      <rPr>
        <b/>
        <sz val="12"/>
        <color rgb="FFFF0000"/>
        <rFont val="Calibri"/>
        <family val="2"/>
      </rPr>
      <t>Engrais de couverture</t>
    </r>
    <r>
      <rPr>
        <sz val="12"/>
        <color rgb="FFFF0000"/>
        <rFont val="Calibri"/>
        <family val="2"/>
      </rPr>
      <t xml:space="preserve">
 • Urée : 100 kg/ha (en deux apports)
 • K₂SO₄ : 100 kg/ha
 • Dolomie : 500 kg/ha si le sol est acide
</t>
    </r>
  </si>
  <si>
    <r>
      <rPr>
        <b/>
        <sz val="12"/>
        <color rgb="FFFF0000"/>
        <rFont val="Calibri"/>
        <family val="2"/>
      </rPr>
      <t>Mildiou : taches jaunâtres, moisissure blanche sous les feuilles.</t>
    </r>
    <r>
      <rPr>
        <sz val="12"/>
        <color rgb="FFFF0000"/>
        <rFont val="Calibri"/>
        <family val="2"/>
      </rPr>
      <t xml:space="preserve">
 • Prévention : rotation culturale, éviter l’humidité excessive, semences saines.
 • Traitement curatif : pulvérisation de fongicides à base de cuivre ou décoction d’ail + savon noir en traitement naturel.
 </t>
    </r>
    <r>
      <rPr>
        <b/>
        <sz val="12"/>
        <color rgb="FFFF0000"/>
        <rFont val="Calibri"/>
        <family val="2"/>
      </rPr>
      <t xml:space="preserve">• Septoriose : </t>
    </r>
    <r>
      <rPr>
        <sz val="12"/>
        <color rgb="FFFF0000"/>
        <rFont val="Calibri"/>
        <family val="2"/>
      </rPr>
      <t>taches brunes avec centre clair.
 • Prévention : espacement suffisant, bonne aération.
 • Traitement curatif : mêmes traitements que le mildiou.</t>
    </r>
  </si>
  <si>
    <r>
      <rPr>
        <b/>
        <sz val="12"/>
        <color rgb="FFFF0000"/>
        <rFont val="Calibri"/>
        <family val="2"/>
      </rPr>
      <t xml:space="preserve">Pucerons </t>
    </r>
    <r>
      <rPr>
        <sz val="12"/>
        <color rgb="FFFF0000"/>
        <rFont val="Calibri"/>
        <family val="2"/>
      </rPr>
      <t xml:space="preserve">: petites colonies sur feuilles tendres.
 • Prévention : plantation de plantes répulsives (ex. basilic).
 • Traitement curatif : savon noir + huile de neem, ou insecticides bio à base de pyrèthre.
</t>
    </r>
    <r>
      <rPr>
        <b/>
        <sz val="12"/>
        <color rgb="FFFF0000"/>
        <rFont val="Calibri"/>
        <family val="2"/>
      </rPr>
      <t xml:space="preserve"> Altises :</t>
    </r>
    <r>
      <rPr>
        <sz val="12"/>
        <color rgb="FFFF0000"/>
        <rFont val="Calibri"/>
        <family val="2"/>
      </rPr>
      <t xml:space="preserve"> petits trous dans les feuilles.
 • Prévention : paillage, filet anti-insectes.
 • Traitement curatif : cendre fine + savon noir en pulvérisation.</t>
    </r>
  </si>
  <si>
    <r>
      <rPr>
        <sz val="12"/>
        <color rgb="FFFF0000"/>
        <rFont val="Calibri"/>
        <family val="2"/>
      </rPr>
      <t>P</t>
    </r>
    <r>
      <rPr>
        <sz val="12"/>
        <color theme="1"/>
        <rFont val="Calibri"/>
        <family val="2"/>
      </rPr>
      <t>ersil</t>
    </r>
  </si>
  <si>
    <r>
      <rPr>
        <sz val="12"/>
        <color rgb="FFFF0000"/>
        <rFont val="Calibri"/>
        <family val="2"/>
      </rPr>
      <t>Altitude : 800 à 2 000 m</t>
    </r>
    <r>
      <rPr>
        <sz val="12"/>
        <color theme="1"/>
        <rFont val="Calibri"/>
        <family val="2"/>
      </rPr>
      <t xml:space="preserve">
Antananarivo, Ambohidratrimo, Miarinarivo, Antsirabe, Fianarantsoa, Nosy Be, Mahajanga, Toamasina , Manakara,</t>
    </r>
  </si>
  <si>
    <r>
      <rPr>
        <b/>
        <sz val="12"/>
        <color theme="1"/>
        <rFont val="Calibri"/>
        <family val="2"/>
      </rPr>
      <t>Température optimale de la germination:</t>
    </r>
    <r>
      <rPr>
        <sz val="12"/>
        <color theme="1"/>
        <rFont val="Calibri"/>
        <family val="2"/>
      </rPr>
      <t xml:space="preserve"> 24°C ( durée de la germination: 3 à 4 semaines)     </t>
    </r>
    <r>
      <rPr>
        <b/>
        <sz val="12"/>
        <color theme="1"/>
        <rFont val="Calibri"/>
        <family val="2"/>
      </rPr>
      <t>Température optimale de croissance</t>
    </r>
    <r>
      <rPr>
        <sz val="12"/>
        <color theme="1"/>
        <rFont val="Calibri"/>
        <family val="2"/>
      </rPr>
      <t>: 15 à 18 °C</t>
    </r>
  </si>
  <si>
    <r>
      <rPr>
        <sz val="12"/>
        <color rgb="FFFF0000"/>
        <rFont val="Calibri"/>
        <family val="2"/>
      </rPr>
      <t>A</t>
    </r>
    <r>
      <rPr>
        <sz val="12"/>
        <color theme="1"/>
        <rFont val="Calibri"/>
        <family val="2"/>
      </rPr>
      <t>nuelle</t>
    </r>
  </si>
  <si>
    <r>
      <rPr>
        <b/>
        <sz val="12"/>
        <color theme="1"/>
        <rFont val="Calibri"/>
        <family val="2"/>
      </rPr>
      <t>Semis</t>
    </r>
    <r>
      <rPr>
        <sz val="12"/>
        <color theme="1"/>
        <rFont val="Calibri"/>
        <family val="2"/>
      </rPr>
      <t xml:space="preserve">: 13-18°C (temps de germination: 10-14 jours)                        </t>
    </r>
    <r>
      <rPr>
        <b/>
        <sz val="12"/>
        <color theme="1"/>
        <rFont val="Calibri"/>
        <family val="2"/>
      </rPr>
      <t>Culture:</t>
    </r>
    <r>
      <rPr>
        <sz val="12"/>
        <color theme="1"/>
        <rFont val="Calibri"/>
        <family val="2"/>
      </rPr>
      <t xml:space="preserve"> 15-27°C ( temps de maturation: 50 jours)</t>
    </r>
  </si>
  <si>
    <r>
      <t xml:space="preserve">Origine : Madagascar, année d'introduction : 1932; obtenteur : FOFIFA; nature génétique : sélection locale 
</t>
    </r>
    <r>
      <rPr>
        <sz val="12"/>
        <color rgb="FFFF0000"/>
        <rFont val="Calibri"/>
        <family val="2"/>
      </rPr>
      <t>Grains longs translucides
 Variétés traditionnelles à 
large adaptabilité
APTITUDE  CULTURALE  : Riziculture irriguée 
Variété photopériodique, sa floraison est sensible à la durée du jour, ce qui peut affecter le rendement en cas de semis tardif.</t>
    </r>
  </si>
  <si>
    <r>
      <t xml:space="preserve">Signes de Maturité du Riz
</t>
    </r>
    <r>
      <rPr>
        <b/>
        <sz val="12"/>
        <color rgb="FFFF0000"/>
        <rFont val="Calibri"/>
        <family val="2"/>
      </rPr>
      <t xml:space="preserve"> 1. Changement de Couleur des Panicules :</t>
    </r>
    <r>
      <rPr>
        <sz val="12"/>
        <color rgb="FFFF0000"/>
        <rFont val="Calibri"/>
        <family val="2"/>
      </rPr>
      <t xml:space="preserve">
 • Les panicules passent du vert au jaune doré.
 • Ce changement commence généralement par le haut de la panicule et progresse vers le bas. 
</t>
    </r>
    <r>
      <rPr>
        <b/>
        <sz val="12"/>
        <color rgb="FFFF0000"/>
        <rFont val="Calibri"/>
        <family val="2"/>
      </rPr>
      <t xml:space="preserve"> 2. Dureté des Grains :</t>
    </r>
    <r>
      <rPr>
        <sz val="12"/>
        <color rgb="FFFF0000"/>
        <rFont val="Calibri"/>
        <family val="2"/>
      </rPr>
      <t xml:space="preserve">
 • Les grains deviennent durs et croquants au toucher.
 • Ils passent par des stades de texture : laiteux → pâteux → dur.
</t>
    </r>
    <r>
      <rPr>
        <b/>
        <sz val="12"/>
        <color rgb="FFFF0000"/>
        <rFont val="Calibri"/>
        <family val="2"/>
      </rPr>
      <t xml:space="preserve"> 3. Courbure des Panicules :</t>
    </r>
    <r>
      <rPr>
        <sz val="12"/>
        <color rgb="FFFF0000"/>
        <rFont val="Calibri"/>
        <family val="2"/>
      </rPr>
      <t xml:space="preserve">
 • Le poids des grains mûrs fait pencher les panicules vers le bas.
</t>
    </r>
    <r>
      <rPr>
        <b/>
        <sz val="12"/>
        <color rgb="FFFF0000"/>
        <rFont val="Calibri"/>
        <family val="2"/>
      </rPr>
      <t xml:space="preserve"> 4. Pourcentage de Maturité :</t>
    </r>
    <r>
      <rPr>
        <sz val="12"/>
        <color rgb="FFFF0000"/>
        <rFont val="Calibri"/>
        <family val="2"/>
      </rPr>
      <t xml:space="preserve">
 • La récolte est optimale lorsque 80 à 90 % des grains sur la panicule ont atteint la maturité. ￼
</t>
    </r>
    <r>
      <rPr>
        <b/>
        <sz val="12"/>
        <color rgb="FFFF0000"/>
        <rFont val="Calibri"/>
        <family val="2"/>
      </rPr>
      <t xml:space="preserve"> 5. Teneur en Humidité des Grains :</t>
    </r>
    <r>
      <rPr>
        <sz val="12"/>
        <color rgb="FFFF0000"/>
        <rFont val="Calibri"/>
        <family val="2"/>
      </rPr>
      <t xml:space="preserve">
 • Les grains prêts à être récoltés ont une teneur en eau de 18 à 20 %.
🕒 Moment Idéal pour la Récolte
Récolte entre 120 et 130 jours après le semis, généralement en mars-avril.
</t>
    </r>
  </si>
  <si>
    <r>
      <rPr>
        <b/>
        <sz val="12"/>
        <color rgb="FFFF0000"/>
        <rFont val="Calibri"/>
        <family val="2"/>
      </rPr>
      <t>Pyriculariose (Blast du riz) – Magnaporthe oryzae</t>
    </r>
    <r>
      <rPr>
        <sz val="12"/>
        <color rgb="FFFF0000"/>
        <rFont val="Calibri"/>
        <family val="2"/>
      </rPr>
      <t xml:space="preserve">
 • Symptômes : Taches ovales à bords bruns sur les feuilles, pouvant évoluer en lésions nécrotiques.
 • Gestion :
 • Éviter les excès d’azote.
 • Pratiquer une rotation culturale.
 • Appliquer des fongicides si nécessaire.
</t>
    </r>
    <r>
      <rPr>
        <b/>
        <sz val="12"/>
        <color rgb="FFFF0000"/>
        <rFont val="Calibri"/>
        <family val="2"/>
      </rPr>
      <t>Bactériose foliaire (Bacterial Leaf Blight) – Xanthomonas oryzae pv. oryzae</t>
    </r>
    <r>
      <rPr>
        <sz val="12"/>
        <color rgb="FFFF0000"/>
        <rFont val="Calibri"/>
        <family val="2"/>
      </rPr>
      <t xml:space="preserve">
 • Symptômes : Lésions aquatiques jaunâtres partant du bord des feuilles, s’étendant vers la base.
 • Gestion :
 • Utiliser des semences saines.
 • Éviter l’irrigation excessive.
 • Éliminer les résidus de culture.
 • Surveiller les champs régulièrement
</t>
    </r>
    <r>
      <rPr>
        <b/>
        <sz val="12"/>
        <color rgb="FFFF0000"/>
        <rFont val="Calibri"/>
        <family val="2"/>
      </rPr>
      <t>Stries bactériennes – Xanthomonas oryzae pv. oryzicola</t>
    </r>
    <r>
      <rPr>
        <sz val="12"/>
        <color rgb="FFFF0000"/>
        <rFont val="Calibri"/>
        <family val="2"/>
      </rPr>
      <t xml:space="preserve">
 • Symptômes : Stries translucides sur les feuilles, devenant brunes avec le temps.
 • Présence : Confirmée à Madagascar .
 • Gestion :
 • Utiliser des variétés résistantes.
 • Maintenir une bonne hygiène des champs.
 • Éviter les blessures mécaniques aux plantes.
</t>
    </r>
    <r>
      <rPr>
        <b/>
        <sz val="12"/>
        <color rgb="FFFF0000"/>
        <rFont val="Calibri"/>
        <family val="2"/>
      </rPr>
      <t>Virus de la panachure jaune du riz (RYMV</t>
    </r>
    <r>
      <rPr>
        <sz val="12"/>
        <color rgb="FFFF0000"/>
        <rFont val="Calibri"/>
        <family val="2"/>
      </rPr>
      <t xml:space="preserve">)
 • Symptômes : Jaunissement en mosaïque des feuilles, réduction de la taille des plants.
 • Gestion :
 • Utiliser des variétés résistantes si disponibles.
 • Contrôler les insectes vecteurs.
 • Éliminer les plants infectés.
</t>
    </r>
    <r>
      <rPr>
        <b/>
        <sz val="12"/>
        <color rgb="FFFF0000"/>
        <rFont val="Calibri"/>
        <family val="2"/>
      </rPr>
      <t xml:space="preserve">
Tache foliaire – Curvularia lunata</t>
    </r>
    <r>
      <rPr>
        <sz val="12"/>
        <color rgb="FFFF0000"/>
        <rFont val="Calibri"/>
        <family val="2"/>
      </rPr>
      <t xml:space="preserve">
 • Symptômes : Taches brunes ou noires sur les feuilles, pouvant coalescer.
 • Présence : Prévalente dans les régions humides de Madagascar .
 • Gestion :
 • Améliorer la circulation de l’air entre les plants.
 • Éviter l’irrigation par aspersion en fin de journée.
 • Utiliser des fongicides si nécessaire.</t>
    </r>
  </si>
  <si>
    <r>
      <rPr>
        <b/>
        <sz val="12"/>
        <color rgb="FFFF0000"/>
        <rFont val="Calibri"/>
        <family val="2"/>
      </rPr>
      <t>Foreurs de tiges – Chilo spp., Maliarpha separatella</t>
    </r>
    <r>
      <rPr>
        <sz val="12"/>
        <color rgb="FFFF0000"/>
        <rFont val="Calibri"/>
        <family val="2"/>
      </rPr>
      <t xml:space="preserve">
 • Symptômes : “Cœurs morts” (tiges centrales mortes) et “panicules blanches” (panicules sans grains).
 • Gestion :
 • Pratiquer une plantation synchronisée.
 • Éliminer les résidus de culture après la récolte.
 • Utiliser des variétés résistantes si disponibles.
 • Appliquer des insecticides ciblés en cas d’infestation sévère. 
</t>
    </r>
    <r>
      <rPr>
        <b/>
        <sz val="12"/>
        <color rgb="FFFF0000"/>
        <rFont val="Calibri"/>
        <family val="2"/>
      </rPr>
      <t>Mouche du gall du riz – Orseolia oryzae</t>
    </r>
    <r>
      <rPr>
        <sz val="12"/>
        <color rgb="FFFF0000"/>
        <rFont val="Calibri"/>
        <family val="2"/>
      </rPr>
      <t xml:space="preserve">
 • Symptômes : Formation de galles (“pousses argentées”) empêchant le développement des panicules.
 • Gestion :
 • Planter des variétés résistantes.
 • Éviter les semis précoces ou tardifs.
 • Éliminer les plants infestés.
</t>
    </r>
    <r>
      <rPr>
        <b/>
        <sz val="12"/>
        <color rgb="FFFF0000"/>
        <rFont val="Calibri"/>
        <family val="2"/>
      </rPr>
      <t>Nématode à galles – Meloidogyne graminic</t>
    </r>
    <r>
      <rPr>
        <sz val="12"/>
        <color rgb="FFFF0000"/>
        <rFont val="Calibri"/>
        <family val="2"/>
      </rPr>
      <t>ola
 • Symptômes : Gall formation sur les racines, entraînant un retard de croissance et une réduction du rendement.
  • Gestion :
 • Pratiquer la rotation des cultures avec des plantes non hôtes.
 • Utiliser des variétés résistantes si disponibles.
 • Améliorer la structure du sol pour favoriser les ennemis naturels des nématodes. ￼</t>
    </r>
  </si>
  <si>
    <r>
      <t xml:space="preserve">Origine : Madagascar; la variété Tsipala 1888 remonte à 1968; Le riz Tsipala 1888 a été sélectionné pour ses performances agronomiques et sa qualité de grain
</t>
    </r>
    <r>
      <rPr>
        <sz val="12"/>
        <color rgb="FFFF0000"/>
        <rFont val="Calibri"/>
        <family val="2"/>
      </rPr>
      <t xml:space="preserve"> Variétés traditionnelles à 
large adaptabilité
APTITUDE  CULTURALE  : Riziculture irriguée 
 Bien adaptée aux zones irriguées de basse altitude, avec un bon rendement et une bonne qualité de grain.</t>
    </r>
  </si>
  <si>
    <r>
      <t xml:space="preserve">Signes de Maturité du Riz
</t>
    </r>
    <r>
      <rPr>
        <b/>
        <sz val="12"/>
        <color rgb="FFFF0000"/>
        <rFont val="Calibri"/>
        <family val="2"/>
      </rPr>
      <t xml:space="preserve"> 1. Changement de Couleur des Panicules :</t>
    </r>
    <r>
      <rPr>
        <sz val="12"/>
        <color rgb="FFFF0000"/>
        <rFont val="Calibri"/>
        <family val="2"/>
      </rPr>
      <t xml:space="preserve">
 • Les panicules passent du vert au jaune doré.
 • Ce changement commence généralement par le haut de la panicule et progresse vers le bas. 
</t>
    </r>
    <r>
      <rPr>
        <b/>
        <sz val="12"/>
        <color rgb="FFFF0000"/>
        <rFont val="Calibri"/>
        <family val="2"/>
      </rPr>
      <t xml:space="preserve"> 2. Dureté des Grains :</t>
    </r>
    <r>
      <rPr>
        <sz val="12"/>
        <color rgb="FFFF0000"/>
        <rFont val="Calibri"/>
        <family val="2"/>
      </rPr>
      <t xml:space="preserve">
 • Les grains deviennent durs et croquants au toucher.
 • Ils passent par des stades de texture : laiteux → pâteux → dur.
</t>
    </r>
    <r>
      <rPr>
        <b/>
        <sz val="12"/>
        <color rgb="FFFF0000"/>
        <rFont val="Calibri"/>
        <family val="2"/>
      </rPr>
      <t xml:space="preserve"> 3. Courbure des Panicules :</t>
    </r>
    <r>
      <rPr>
        <sz val="12"/>
        <color rgb="FFFF0000"/>
        <rFont val="Calibri"/>
        <family val="2"/>
      </rPr>
      <t xml:space="preserve">
 • Le poids des grains mûrs fait pencher les panicules vers le bas.
</t>
    </r>
    <r>
      <rPr>
        <b/>
        <sz val="12"/>
        <color rgb="FFFF0000"/>
        <rFont val="Calibri"/>
        <family val="2"/>
      </rPr>
      <t xml:space="preserve"> 4. Pourcentage de Maturité :</t>
    </r>
    <r>
      <rPr>
        <sz val="12"/>
        <color rgb="FFFF0000"/>
        <rFont val="Calibri"/>
        <family val="2"/>
      </rPr>
      <t xml:space="preserve">
 • La récolte est optimale lorsque 80 à 90 % des grains sur la panicule ont atteint la maturité. ￼
</t>
    </r>
    <r>
      <rPr>
        <b/>
        <sz val="12"/>
        <color rgb="FFFF0000"/>
        <rFont val="Calibri"/>
        <family val="2"/>
      </rPr>
      <t xml:space="preserve"> 5. Teneur en Humidité des Grains :</t>
    </r>
    <r>
      <rPr>
        <sz val="12"/>
        <color rgb="FFFF0000"/>
        <rFont val="Calibri"/>
        <family val="2"/>
      </rPr>
      <t xml:space="preserve">
 • Les grains prêts à être récoltés ont une teneur en eau de 18 à 20 %.
🕒 Moment Idéal pour la Récolte
 entre 100 et 120 jours après le semis, généralement en février-mars.
</t>
    </r>
  </si>
  <si>
    <r>
      <rPr>
        <b/>
        <sz val="12"/>
        <color rgb="FFFF0000"/>
        <rFont val="Calibri"/>
        <family val="2"/>
      </rPr>
      <t>1. Pyriculariose (Blast du riz) – Magnaporthe oryzae</t>
    </r>
    <r>
      <rPr>
        <sz val="12"/>
        <color rgb="FFFF0000"/>
        <rFont val="Calibri"/>
        <family val="2"/>
      </rPr>
      <t xml:space="preserve">
 • Symptômes : Taches ovales à bords bruns sur les feuilles, pouvant évoluer en lésions nécrotiques.
 • Variétés sensibles : Makalioka 34 et Tsipala 1888 sont modérément sensibles; FOFIFA 172 présente une meilleure tolérance.
 • Gestion :
 • Utiliser des variétés tolérantes comme FOFIFA 172.
 • Éviter les excès d’azote.
 • Pratiquer une rotation culturale.
 • Appliquer des fongicides si nécessaire.
</t>
    </r>
    <r>
      <rPr>
        <b/>
        <sz val="12"/>
        <color rgb="FFFF0000"/>
        <rFont val="Calibri"/>
        <family val="2"/>
      </rPr>
      <t xml:space="preserve"> Bactériose foliaire (Bacterial Leaf Blight) – Xanthomonas oryzae pv. oryzae</t>
    </r>
    <r>
      <rPr>
        <sz val="12"/>
        <color rgb="FFFF0000"/>
        <rFont val="Calibri"/>
        <family val="2"/>
      </rPr>
      <t xml:space="preserve">
 • Symptômes : Lésions aquatiques jaunâtres partant du bord des feuilles, s’étendant vers la base.
 • Gestion :
 • Utiliser des semences saines.
 • Éviter l’irrigation excessive.
 • Éliminer les résidus de culture.
 • Surveiller les champs régulièrement.
</t>
    </r>
    <r>
      <rPr>
        <b/>
        <sz val="12"/>
        <color rgb="FFFF0000"/>
        <rFont val="Calibri"/>
        <family val="2"/>
      </rPr>
      <t>Stries bactériennes – Xanthomonas oryzae pv. oryzicola</t>
    </r>
    <r>
      <rPr>
        <sz val="12"/>
        <color rgb="FFFF0000"/>
        <rFont val="Calibri"/>
        <family val="2"/>
      </rPr>
      <t xml:space="preserve">
 • Symptômes : Stries translucides sur les feuilles, devenant brunes avec le temps.
• Gestion :
 • Utiliser des variétés résistantes.
 • Maintenir une bonne hygiène des champs.</t>
    </r>
    <r>
      <rPr>
        <b/>
        <sz val="12"/>
        <color rgb="FFFF0000"/>
        <rFont val="Calibri"/>
        <family val="2"/>
      </rPr>
      <t xml:space="preserve">
Virus de la panachure jaune du riz (RYMV)</t>
    </r>
    <r>
      <rPr>
        <sz val="12"/>
        <color rgb="FFFF0000"/>
        <rFont val="Calibri"/>
        <family val="2"/>
      </rPr>
      <t xml:space="preserve">
 • Symptômes : Jaunissement en mosaïque des feuilles, réduction de la taille des plants.
 • Gestion :
 • Utiliser des variétés résistantes si disponibles.
 • Contrôler les insectes vecteurs.
 • Éliminer les plants infectés.
</t>
    </r>
    <r>
      <rPr>
        <b/>
        <sz val="12"/>
        <color rgb="FFFF0000"/>
        <rFont val="Calibri"/>
        <family val="2"/>
      </rPr>
      <t xml:space="preserve">
Tache foliaire – Curvularia lunata</t>
    </r>
    <r>
      <rPr>
        <sz val="12"/>
        <color rgb="FFFF0000"/>
        <rFont val="Calibri"/>
        <family val="2"/>
      </rPr>
      <t xml:space="preserve">
 • Symptômes : Taches brunes ou noires sur les feuilles, pouvant coalescer.
 • Présence : Prévalente dans les régions humides de Madagascar .
 • Gestion :
 • Améliorer la circulation de l’air entre les plants.
 • Éviter l’irrigation par aspersion en fin de journée.
 • Utiliser des fongicides si nécessaire.</t>
    </r>
  </si>
  <si>
    <r>
      <t xml:space="preserve">Origine : Madagascar; la variété Dista est introduit en 2010 ; nature génétique : sélection locale 
</t>
    </r>
    <r>
      <rPr>
        <sz val="12"/>
        <color rgb="FFFF0000"/>
        <rFont val="Calibri"/>
        <family val="2"/>
      </rPr>
      <t>APTITUDE  CULTURALE  : Riziculture irriguée 
Variété autochtone découverte à Amparafaravola, appréciée pour sa qualité gustative et sa couleur rose après polissage. Adaptée au Système de Riziculture Intensive (SRI), elle offre des rendements élevés et est prisée sur les marchés internationaux.</t>
    </r>
  </si>
  <si>
    <r>
      <rPr>
        <sz val="12"/>
        <color rgb="FFFF0000"/>
        <rFont val="Calibri"/>
        <family val="2"/>
      </rPr>
      <t>A</t>
    </r>
    <r>
      <rPr>
        <sz val="12"/>
        <color theme="1"/>
        <rFont val="Calibri"/>
        <family val="2"/>
      </rPr>
      <t>ltitude moyenne d'environ 800 mètres</t>
    </r>
  </si>
  <si>
    <r>
      <t xml:space="preserve">Novembre à décembre
</t>
    </r>
    <r>
      <rPr>
        <sz val="12"/>
        <color rgb="FFFF0000"/>
        <rFont val="Calibri"/>
        <family val="2"/>
      </rPr>
      <t>Âge des plants au repiquage : Les plants sont généralement repiqués entre 8 et 15 jours après le semis, au stade de 2 feuilles, pour favoriser un meilleur tallage et une croissance optimal</t>
    </r>
  </si>
  <si>
    <r>
      <t xml:space="preserve">Signes de Maturité du Riz
</t>
    </r>
    <r>
      <rPr>
        <b/>
        <sz val="12"/>
        <color rgb="FFFF0000"/>
        <rFont val="Calibri"/>
        <family val="2"/>
      </rPr>
      <t xml:space="preserve"> 1. Changement de Couleur des Panicules :</t>
    </r>
    <r>
      <rPr>
        <sz val="12"/>
        <color rgb="FFFF0000"/>
        <rFont val="Calibri"/>
        <family val="2"/>
      </rPr>
      <t xml:space="preserve">
 • Les panicules passent du vert au jaune doré.
 • Ce changement commence généralement par le haut de la panicule et progresse vers le bas. 
</t>
    </r>
    <r>
      <rPr>
        <b/>
        <sz val="12"/>
        <color rgb="FFFF0000"/>
        <rFont val="Calibri"/>
        <family val="2"/>
      </rPr>
      <t xml:space="preserve"> 2. Dureté des Grains :</t>
    </r>
    <r>
      <rPr>
        <sz val="12"/>
        <color rgb="FFFF0000"/>
        <rFont val="Calibri"/>
        <family val="2"/>
      </rPr>
      <t xml:space="preserve">
 • Les grains deviennent durs et croquants au toucher.
 • Ils passent par des stades de texture : laiteux → pâteux → dur.
</t>
    </r>
    <r>
      <rPr>
        <b/>
        <sz val="12"/>
        <color rgb="FFFF0000"/>
        <rFont val="Calibri"/>
        <family val="2"/>
      </rPr>
      <t xml:space="preserve"> 3. Courbure des Panicules :</t>
    </r>
    <r>
      <rPr>
        <sz val="12"/>
        <color rgb="FFFF0000"/>
        <rFont val="Calibri"/>
        <family val="2"/>
      </rPr>
      <t xml:space="preserve">
 • Le poids des grains mûrs fait pencher les panicules vers le bas.
</t>
    </r>
    <r>
      <rPr>
        <b/>
        <sz val="12"/>
        <color rgb="FFFF0000"/>
        <rFont val="Calibri"/>
        <family val="2"/>
      </rPr>
      <t xml:space="preserve"> 4. Pourcentage de Maturité :</t>
    </r>
    <r>
      <rPr>
        <sz val="12"/>
        <color rgb="FFFF0000"/>
        <rFont val="Calibri"/>
        <family val="2"/>
      </rPr>
      <t xml:space="preserve">
 • La récolte est optimale lorsque 80 à 90 % des grains sur la panicule ont atteint la maturité. ￼
</t>
    </r>
    <r>
      <rPr>
        <b/>
        <sz val="12"/>
        <color rgb="FFFF0000"/>
        <rFont val="Calibri"/>
        <family val="2"/>
      </rPr>
      <t xml:space="preserve"> 5. Teneur en Humidité des Grains :</t>
    </r>
    <r>
      <rPr>
        <sz val="12"/>
        <color rgb="FFFF0000"/>
        <rFont val="Calibri"/>
        <family val="2"/>
      </rPr>
      <t xml:space="preserve">
 • Les grains prêts à être récoltés ont une teneur en eau de 18 à 20 %.
🕒 Moment Idéal pour la Récolte
entre 100 et 120 jours après le semis, généralement en février-mars</t>
    </r>
  </si>
  <si>
    <r>
      <rPr>
        <b/>
        <sz val="12"/>
        <color rgb="FFFF0000"/>
        <rFont val="Calibri"/>
        <family val="2"/>
      </rPr>
      <t>Bactériose foliaire (Bacterial Leaf Blight) – Xanthomonas oryzae pv. oryzae</t>
    </r>
    <r>
      <rPr>
        <sz val="12"/>
        <color rgb="FFFF0000"/>
        <rFont val="Calibri"/>
        <family val="2"/>
      </rPr>
      <t xml:space="preserve">
 • Symptômes : Lésions aquatiques jaunâtres partant du bord des feuilles, s’étendant vers la base.
 • Gestion :
 • Utiliser des semences saines.
 • Éviter l’irrigation excessive.
 • Éliminer les résidus de culture.
 • Surveiller les champs régulièrement.
</t>
    </r>
    <r>
      <rPr>
        <b/>
        <sz val="12"/>
        <color rgb="FFFF0000"/>
        <rFont val="Calibri"/>
        <family val="2"/>
      </rPr>
      <t xml:space="preserve">
Stries bactériennes – Xanthomonas oryzae pv. oryzicola</t>
    </r>
    <r>
      <rPr>
        <sz val="12"/>
        <color rgb="FFFF0000"/>
        <rFont val="Calibri"/>
        <family val="2"/>
      </rPr>
      <t xml:space="preserve">
 • Symptômes : Stries translucides sur les feuilles, devenant brunes avec le temps.
 • Présence : Confirmée à Madagascar .
 • Gestion :
 • Utiliser des variétés résistantes.
 • Maintenir une bonne hygiène des champs.
 • Éviter les blessures mécaniques aux plantes. 
</t>
    </r>
    <r>
      <rPr>
        <b/>
        <sz val="12"/>
        <color rgb="FFFF0000"/>
        <rFont val="Calibri"/>
        <family val="2"/>
      </rPr>
      <t>Tache foliaire – Curvularia lunata</t>
    </r>
    <r>
      <rPr>
        <sz val="12"/>
        <color rgb="FFFF0000"/>
        <rFont val="Calibri"/>
        <family val="2"/>
      </rPr>
      <t xml:space="preserve">
 • Symptômes : Taches brunes ou noires sur les feuilles, pouvant coalescer.
 • Présence : Prévalente dans les régions humides de Madagascar .
 • Gestion :
 • Améliorer la circulation de l’air entre les plants.
 • Éviter l’irrigation par aspersion en fin de journée.
 • Utiliser des fongicides si nécessaire.</t>
    </r>
  </si>
  <si>
    <r>
      <t xml:space="preserve">Le riz a été introduit à Madagascar par les premiers immigrants venus d'Asie du Sud-Est; un programme de création variétale a été initié en 1984 par le FOFIFA et le CIRAD, aboutissant à la création de variétés de riz pluvial adaptées à l'altitude.
</t>
    </r>
    <r>
      <rPr>
        <sz val="12"/>
        <color rgb="FFFF0000"/>
        <rFont val="Calibri"/>
        <family val="2"/>
      </rPr>
      <t>Développée pour les hautes terres, cette variété pluviale est tolérante au froid et adaptée aux altitudes élevées, avec une bonne résistance aux maladies</t>
    </r>
  </si>
  <si>
    <r>
      <t xml:space="preserve">Signes de Maturité du Riz
</t>
    </r>
    <r>
      <rPr>
        <b/>
        <sz val="12"/>
        <color rgb="FFFF0000"/>
        <rFont val="Calibri"/>
        <family val="2"/>
      </rPr>
      <t xml:space="preserve"> 1. Changement de Couleur des Panicules :</t>
    </r>
    <r>
      <rPr>
        <sz val="12"/>
        <color rgb="FFFF0000"/>
        <rFont val="Calibri"/>
        <family val="2"/>
      </rPr>
      <t xml:space="preserve">
 • Les panicules passent du vert au jaune doré.
 • Ce changement commence généralement par le haut de la panicule et progresse vers le bas. 
</t>
    </r>
    <r>
      <rPr>
        <b/>
        <sz val="12"/>
        <color rgb="FFFF0000"/>
        <rFont val="Calibri"/>
        <family val="2"/>
      </rPr>
      <t xml:space="preserve"> 2. Dureté des Grains :</t>
    </r>
    <r>
      <rPr>
        <sz val="12"/>
        <color rgb="FFFF0000"/>
        <rFont val="Calibri"/>
        <family val="2"/>
      </rPr>
      <t xml:space="preserve">
 • Les grains deviennent durs et croquants au toucher.
 • Ils passent par des stades de texture : laiteux → pâteux → dur.
</t>
    </r>
    <r>
      <rPr>
        <b/>
        <sz val="12"/>
        <color rgb="FFFF0000"/>
        <rFont val="Calibri"/>
        <family val="2"/>
      </rPr>
      <t xml:space="preserve"> 3. Courbure des Panicules :</t>
    </r>
    <r>
      <rPr>
        <sz val="12"/>
        <color rgb="FFFF0000"/>
        <rFont val="Calibri"/>
        <family val="2"/>
      </rPr>
      <t xml:space="preserve">
 • Le poids des grains mûrs fait pencher les panicules vers le bas.
</t>
    </r>
    <r>
      <rPr>
        <b/>
        <sz val="12"/>
        <color rgb="FFFF0000"/>
        <rFont val="Calibri"/>
        <family val="2"/>
      </rPr>
      <t xml:space="preserve"> 4. Pourcentage de Maturité :</t>
    </r>
    <r>
      <rPr>
        <sz val="12"/>
        <color rgb="FFFF0000"/>
        <rFont val="Calibri"/>
        <family val="2"/>
      </rPr>
      <t xml:space="preserve">
 • La récolte est optimale lorsque 80 à 90 % des grains sur la panicule ont atteint la maturité. ￼
</t>
    </r>
    <r>
      <rPr>
        <b/>
        <sz val="12"/>
        <color rgb="FFFF0000"/>
        <rFont val="Calibri"/>
        <family val="2"/>
      </rPr>
      <t xml:space="preserve"> 5. Teneur en Humidité des Grains :</t>
    </r>
    <r>
      <rPr>
        <sz val="12"/>
        <color rgb="FFFF0000"/>
        <rFont val="Calibri"/>
        <family val="2"/>
      </rPr>
      <t xml:space="preserve">
 • Les grains prêts à être récoltés ont une teneur en eau de 18 à 20 %.
🕒 Moment Idéal pour la Récolte
  environ 90 à 100 jours après le semis, généralement en février.
</t>
    </r>
  </si>
  <si>
    <r>
      <rPr>
        <b/>
        <sz val="12"/>
        <color rgb="FFFF0000"/>
        <rFont val="Calibri"/>
        <family val="2"/>
      </rPr>
      <t>Bactériose foliaire (Bacterial Leaf Blight) – Xanthomonas oryzae pv. oryzae</t>
    </r>
    <r>
      <rPr>
        <sz val="12"/>
        <color rgb="FFFF0000"/>
        <rFont val="Calibri"/>
        <family val="2"/>
      </rPr>
      <t xml:space="preserve">
 • Symptômes : Lésions aquatiques jaunâtres partant du bord des feuilles, s’étendant vers la base.
 • Gestion :
 • Utiliser des semences saines.
 • Éviter l’irrigation excessive.
 • Éliminer les résidus de culture.
 • Surveiller les champs régulièrement. 
</t>
    </r>
    <r>
      <rPr>
        <b/>
        <sz val="12"/>
        <color rgb="FFFF0000"/>
        <rFont val="Calibri"/>
        <family val="2"/>
      </rPr>
      <t>Stries bactériennes – Xanthomonas oryzae pv. oryzicola</t>
    </r>
    <r>
      <rPr>
        <sz val="12"/>
        <color rgb="FFFF0000"/>
        <rFont val="Calibri"/>
        <family val="2"/>
      </rPr>
      <t xml:space="preserve">
 • Symptômes : Stries translucides sur les feuilles, devenant brunes avec le temps.
 • Gestion :
 • Utiliser des variétés résistantes.
 • Maintenir une bonne hygiène des champs.
 • Éviter les blessures mécaniques aux plantes.
</t>
    </r>
    <r>
      <rPr>
        <b/>
        <sz val="12"/>
        <color rgb="FFFF0000"/>
        <rFont val="Calibri"/>
        <family val="2"/>
      </rPr>
      <t>Tache foliaire – Curvularia lunata</t>
    </r>
    <r>
      <rPr>
        <sz val="12"/>
        <color rgb="FFFF0000"/>
        <rFont val="Calibri"/>
        <family val="2"/>
      </rPr>
      <t xml:space="preserve">
 • Symptômes : Taches brunes ou noires sur les feuilles, pouvant coalescer.
 • Présence : Prévalente dans les régions humides de Madagascar .
 • Gestion :
 • Améliorer la circulation de l’air entre les plants.
 • Éviter l’irrigation par aspersion en fin de journée.
 • Utiliser des fongicides si nécessaire.</t>
    </r>
  </si>
  <si>
    <r>
      <t xml:space="preserve">Originaire de L'Asie de l'Est, elle est une plante qui présente une rosette de feuilles allongées, tendres et légèrement ondulées, de couleur vert clair à jaune pâle, disposées autour d'une nervure centrale bla,che et épaisse. La plante forme une pomme ovoîde ou allongée, compacte à la base mesurant généralement entre 20 et 40cm de hauteur. Ses feuilles sont légèrement cloquées. La tige est courte presque invisible enfouie à la base du feuillage.
</t>
    </r>
    <r>
      <rPr>
        <sz val="12"/>
        <color rgb="FFFF0000"/>
        <rFont val="Calibri"/>
        <family val="2"/>
      </rPr>
      <t>Utilisation : Consommée en salade, sautée ou fermentée (kimchi)</t>
    </r>
  </si>
  <si>
    <r>
      <t xml:space="preserve">Pas d'exigence universelle
</t>
    </r>
    <r>
      <rPr>
        <sz val="12"/>
        <color rgb="FFFF0000"/>
        <rFont val="Calibri"/>
        <family val="2"/>
      </rPr>
      <t>350 mm à 1 600 mm/an</t>
    </r>
  </si>
  <si>
    <r>
      <t xml:space="preserve">Semence certifiée
</t>
    </r>
    <r>
      <rPr>
        <sz val="12"/>
        <color rgb="FFFF0000"/>
        <rFont val="Calibri"/>
        <family val="2"/>
      </rPr>
      <t xml:space="preserve">Quantité de semences :
   - Semis direct : 1,5 à 2,5 kg/ha
   - Pépinière : 0,5 à 1 kg/ha
</t>
    </r>
  </si>
  <si>
    <r>
      <rPr>
        <sz val="12"/>
        <color rgb="FFFF0000"/>
        <rFont val="Calibri"/>
        <family val="2"/>
      </rPr>
      <t>Nasturtium o</t>
    </r>
    <r>
      <rPr>
        <sz val="12"/>
        <color rgb="FF000000"/>
        <rFont val="Calibri"/>
        <family val="2"/>
      </rPr>
      <t>fficinale</t>
    </r>
  </si>
  <si>
    <r>
      <rPr>
        <sz val="12"/>
        <color rgb="FFFF0000"/>
        <rFont val="Calibri"/>
        <family val="2"/>
      </rPr>
      <t>Cresson</t>
    </r>
    <r>
      <rPr>
        <sz val="12"/>
        <color theme="1"/>
        <rFont val="Calibri"/>
        <family val="2"/>
      </rPr>
      <t>, Anandrano</t>
    </r>
  </si>
  <si>
    <r>
      <t xml:space="preserve">Pas d'exigence universelle
</t>
    </r>
    <r>
      <rPr>
        <sz val="12"/>
        <color rgb="FFFF0000"/>
        <rFont val="Calibri"/>
        <family val="2"/>
      </rPr>
      <t>1000 à 2000 mm/an</t>
    </r>
  </si>
  <si>
    <r>
      <rPr>
        <sz val="12"/>
        <color rgb="FFFF0000"/>
        <rFont val="Calibri"/>
        <family val="2"/>
      </rPr>
      <t xml:space="preserve">Type de semences : Semences locales, issues de sélections traditionnelles ou variétés introduites peu améliorées
• Quantité de semences : Minimum 4 kg/ha, maximum 6 kg/ha
</t>
    </r>
    <r>
      <rPr>
        <sz val="12"/>
        <color theme="1"/>
        <rFont val="Calibri"/>
        <family val="2"/>
      </rPr>
      <t xml:space="preserve">
</t>
    </r>
    <r>
      <rPr>
        <sz val="12"/>
        <color rgb="FFFF0000"/>
        <rFont val="Arial"/>
        <family val="2"/>
      </rPr>
      <t/>
    </r>
  </si>
  <si>
    <r>
      <rPr>
        <sz val="12"/>
        <color rgb="FFFF0000"/>
        <rFont val="Calibri"/>
        <family val="2"/>
      </rPr>
      <t>Solanium</t>
    </r>
    <r>
      <rPr>
        <sz val="12"/>
        <color rgb="FF000000"/>
        <rFont val="Calibri"/>
        <family val="2"/>
      </rPr>
      <t xml:space="preserve"> Nigrum</t>
    </r>
  </si>
  <si>
    <r>
      <t>Anamamy</t>
    </r>
    <r>
      <rPr>
        <sz val="12"/>
        <color rgb="FFFF0000"/>
        <rFont val="Calibri"/>
        <family val="2"/>
      </rPr>
      <t>, Anamamibe</t>
    </r>
  </si>
  <si>
    <r>
      <t xml:space="preserve">Originaire d'Amérique du Sud, </t>
    </r>
    <r>
      <rPr>
        <sz val="12"/>
        <color rgb="FFFF0000"/>
        <rFont val="Calibri"/>
        <family val="2"/>
      </rPr>
      <t>Le brède morelle, connu scientifiquement sous le nom de *Solanum nigrum*, est une plante potagère très consommée à Madagascar, appréciée pour ses feuilles comestibles riches en nutriments.</t>
    </r>
    <r>
      <rPr>
        <sz val="12"/>
        <color rgb="FF000000"/>
        <rFont val="Calibri"/>
        <family val="2"/>
      </rPr>
      <t xml:space="preserve">. Elle porte des feuilles simples, alternes de forme ovale à lancéolée, à bords parfois dentés. Ses fleurs sont petites et blanches à violacées, regroupent un cymes axillaires et présentent cinq pétales soudés formant une étoile. Le fruit est une petite baie ronde, verte puis noire. 
</t>
    </r>
    <r>
      <rPr>
        <sz val="12"/>
        <color rgb="FFFF0000"/>
        <rFont val="Calibri"/>
        <family val="2"/>
      </rPr>
      <t>- Plante annuelle ou vivace, appartenant à la famille des Solanacées.
- Feuilles comestibles utilisées comme légume-feuille, riches en vitamines A, C, et en minéraux.
- Plante rustique, adaptée aux climats tropicaux.</t>
    </r>
  </si>
  <si>
    <r>
      <t xml:space="preserve">Sol limoneux ou argilo-limoneux.
</t>
    </r>
    <r>
      <rPr>
        <sz val="12"/>
        <color rgb="FFFF0000"/>
        <rFont val="Calibri"/>
        <family val="2"/>
      </rPr>
      <t>Bien drainé (éviter les sols hydromorphes ou trop compactés)
 • Riche en matière organique (fumier bien décomposé, compost)
 • pH optimal : 5,5 à 6,8 (légèrement acide à neutre)
 • Bonne rétention en eau, mais sans excès d’humidité
 • Sol ameubli en profondeur (au moins 20-25 cm)
La bred morelle produit bien en sol riche ou convenablement fumé .D’ ailleurs  le gout devient amer si la plante  est cultivée en sol pauvre ou pas bien fumé</t>
    </r>
  </si>
  <si>
    <r>
      <t xml:space="preserve">Pas d'exigence universelle
</t>
    </r>
    <r>
      <rPr>
        <sz val="12"/>
        <color rgb="FFFF0000"/>
        <rFont val="Calibri"/>
        <family val="2"/>
      </rPr>
      <t>Quantité moyenne : environ 500 à 800 mm d’eau sur tout le cycle
 • Fréquence d’arrosage (en culture irriguée) :
 • Tous les 2 à 3 jours en début de culture
 • Puis tous les 4 à 5 jours selon l’humidité du sol</t>
    </r>
  </si>
  <si>
    <r>
      <rPr>
        <b/>
        <sz val="12"/>
        <color rgb="FFFF0000"/>
        <rFont val="Calibri"/>
        <family val="2"/>
      </rPr>
      <t>Engrais de fond (avant ou au moment du semis/repiquage) :</t>
    </r>
    <r>
      <rPr>
        <sz val="12"/>
        <color rgb="FFFF0000"/>
        <rFont val="Calibri"/>
        <family val="2"/>
      </rPr>
      <t xml:space="preserve">
 • NPK 11-22-16 ou DAP (di-ammonium phosphate)
 • Dose recommandée : 100 à 150 kg/ha
 • À incorporer dans le sol avant semis ou repiquage
 </t>
    </r>
    <r>
      <rPr>
        <b/>
        <sz val="12"/>
        <color rgb="FFFF0000"/>
        <rFont val="Calibri"/>
        <family val="2"/>
      </rPr>
      <t>Engrais de couverture (après la reprise des plants) :</t>
    </r>
    <r>
      <rPr>
        <sz val="12"/>
        <color rgb="FFFF0000"/>
        <rFont val="Calibri"/>
        <family val="2"/>
      </rPr>
      <t xml:space="preserve">
 • Sulfate d’ammonium ou urée pour stimuler la croissance des feuilles
 • Dose : 50 à 80 kg/ha, en 1 ou 2 apports
 • 1er apport : 2 à 3 semaines après le repiquage
 • 2e apport (facultatif) : avant la première récolte
PAR CONTRE 
Si le producteur dispose de compost ou fumier bien décomposé, à raison de 20 à 30 t/ha, cela peut suffire sans engrais minéraux, surtout dans les zones déjà fertiles.</t>
    </r>
  </si>
  <si>
    <r>
      <rPr>
        <sz val="12"/>
        <color rgb="FFFF0000"/>
        <rFont val="Calibri"/>
        <family val="2"/>
      </rPr>
      <t>Sol léger, bien drainé, riche en matière organique et légèrement acide à neutre</t>
    </r>
    <r>
      <rPr>
        <sz val="12"/>
        <color rgb="FF000000"/>
        <rFont val="Calibri"/>
        <family val="2"/>
      </rPr>
      <t xml:space="preserve">
</t>
    </r>
  </si>
  <si>
    <r>
      <rPr>
        <sz val="12"/>
        <color rgb="FFFF0000"/>
        <rFont val="Calibri"/>
        <family val="2"/>
      </rPr>
      <t xml:space="preserve">Le semis est généralement effectué au début de la saison des pluies, pour profiter de l’humidité du sol vers </t>
    </r>
    <r>
      <rPr>
        <sz val="12"/>
        <color rgb="FF000000"/>
        <rFont val="Calibri"/>
        <family val="2"/>
      </rPr>
      <t>Octobre – Décembre</t>
    </r>
  </si>
  <si>
    <r>
      <t xml:space="preserve">Rhizomes </t>
    </r>
    <r>
      <rPr>
        <sz val="12"/>
        <color rgb="FFFF0000"/>
        <rFont val="Calibri"/>
        <family val="2"/>
      </rPr>
      <t>(Fragment de racine souterraine) sains, sans pourriture, de  4 à 6 cm avec des bourgeons bien visibles</t>
    </r>
  </si>
  <si>
    <r>
      <t>Le curcuma trouve son origine en Inde, Pakistan et en Bangladesh là où on l’a utilisé depuis des siècles comme remède traditionnel.
Il e</t>
    </r>
    <r>
      <rPr>
        <sz val="12"/>
        <color rgb="FFFF0000"/>
        <rFont val="Calibri"/>
        <family val="2"/>
      </rPr>
      <t>s reconnu également pour ses usages alimentaires ou aromatiques.
C'est une plante cultivée pour ses propriétés médicinales et culinaires, Présente depuis longtemps à  Madagascar, elle est utilisée comme épice, colorant et remède traditionnel</t>
    </r>
  </si>
  <si>
    <r>
      <t xml:space="preserve">Rhizomes </t>
    </r>
    <r>
      <rPr>
        <sz val="12"/>
        <color rgb="FFFF0000"/>
        <rFont val="Calibri"/>
        <family val="2"/>
      </rPr>
      <t>(Fragment de racine souterraine) sains, sans pourriture, de  3 à 5 cm avec 2 à 3 bourgeons</t>
    </r>
  </si>
  <si>
    <r>
      <t xml:space="preserve">Solanum </t>
    </r>
    <r>
      <rPr>
        <sz val="12"/>
        <color rgb="FFFF0000"/>
        <rFont val="Calibri"/>
        <family val="2"/>
      </rPr>
      <t>melongena</t>
    </r>
  </si>
  <si>
    <r>
      <t>Il est originaire d'Asie  et fait partie de la famille des Solanacées. Les aubergines sont cultivées pour leurs fruits comestibles, ainsi que pour la vente.</t>
    </r>
    <r>
      <rPr>
        <sz val="12"/>
        <color rgb="FFFF0000"/>
        <rFont val="Calibri"/>
        <family val="2"/>
      </rPr>
      <t xml:space="preserve">
Plante herbacée pouvant atteindre 0,5 à 1,5 mètres</t>
    </r>
  </si>
  <si>
    <t>Ipomea</t>
  </si>
  <si>
    <t>Mahafaly (TIS 2544)</t>
  </si>
  <si>
    <t>Sihanaka</t>
  </si>
  <si>
    <t>Ipomea batatas</t>
  </si>
  <si>
    <t>Menahatoka</t>
  </si>
  <si>
    <r>
      <t>H</t>
    </r>
    <r>
      <rPr>
        <b/>
        <sz val="12"/>
        <color rgb="FFFF0000"/>
        <rFont val="Calibri"/>
        <family val="2"/>
      </rPr>
      <t>elminthosporium sp.
(Helminthosporiose)</t>
    </r>
    <r>
      <rPr>
        <sz val="12"/>
        <color rgb="FFFF0000"/>
        <rFont val="Calibri"/>
        <family val="2"/>
      </rPr>
      <t xml:space="preserve">
Taches brunes allongées feuilles
Desséchement des plantes entières
</t>
    </r>
    <r>
      <rPr>
        <b/>
        <sz val="12"/>
        <color rgb="FFFF0000"/>
        <rFont val="Calibri"/>
        <family val="2"/>
      </rPr>
      <t>Préventifs</t>
    </r>
    <r>
      <rPr>
        <sz val="12"/>
        <color rgb="FFFF0000"/>
        <rFont val="Calibri"/>
        <family val="2"/>
      </rPr>
      <t xml:space="preserve">
utiliser des semences certifiées
-faire un dépistage rigoureux des plants, surtout sur les vieilles feuilles
-pratiquer des longues rotations de cultures avec des plantes non hôtes
-assurer un bon espacement entre les plants pour diminuer l’humidité entre les plants
-éviter les excès d’azote, mauvais drainage et irrigation par aspersion
-détruire les plantes et mauvaises herbes infectées
-utiliser des produits naturels : bouillie bouse bovine
</t>
    </r>
    <r>
      <rPr>
        <b/>
        <sz val="12"/>
        <color rgb="FFFF0000"/>
        <rFont val="Calibri"/>
        <family val="2"/>
      </rPr>
      <t>Curatifs</t>
    </r>
    <r>
      <rPr>
        <sz val="12"/>
        <color rgb="FFFF0000"/>
        <rFont val="Calibri"/>
        <family val="2"/>
      </rPr>
      <t xml:space="preserve">
Propamocarbe
Metalaxyl
</t>
    </r>
    <r>
      <rPr>
        <b/>
        <sz val="12"/>
        <color rgb="FFFF0000"/>
        <rFont val="Calibri"/>
        <family val="2"/>
      </rPr>
      <t>Puccinia sorghi
(Rouille / arafesina)</t>
    </r>
    <r>
      <rPr>
        <sz val="12"/>
        <color rgb="FFFF0000"/>
        <rFont val="Calibri"/>
        <family val="2"/>
      </rPr>
      <t xml:space="preserve">
Parties attaqués : feuilles
Les pustules brun orangé dispersées sur les feuilles médianes sont caractéristiques
</t>
    </r>
    <r>
      <rPr>
        <b/>
        <sz val="12"/>
        <color rgb="FFFF0000"/>
        <rFont val="Calibri"/>
        <family val="2"/>
      </rPr>
      <t>Préventifs</t>
    </r>
    <r>
      <rPr>
        <sz val="12"/>
        <color rgb="FFFF0000"/>
        <rFont val="Calibri"/>
        <family val="2"/>
      </rPr>
      <t xml:space="preserve">
-utiliser des semences certifiées,
- Utiliser des variétés tolérantes 
-prioriser un sol bien drainé
-pratiquer la rotation culturale avec des plantes non hôtes
-éliminer les mauvaises herbes à proximité des champs
-éviter les stress aux plants (trop sec, trop mouillé, excès d’azote)
-éviter les semis trop denses
Utiliser des produits naturels à base d’ail
</t>
    </r>
    <r>
      <rPr>
        <b/>
        <sz val="12"/>
        <color rgb="FFFF0000"/>
        <rFont val="Calibri"/>
        <family val="2"/>
      </rPr>
      <t>Curatifs</t>
    </r>
    <r>
      <rPr>
        <sz val="12"/>
        <color rgb="FFFF0000"/>
        <rFont val="Calibri"/>
        <family val="2"/>
      </rPr>
      <t xml:space="preserve">
Hexaconazole
</t>
    </r>
    <r>
      <rPr>
        <b/>
        <sz val="12"/>
        <color rgb="FFFF0000"/>
        <rFont val="Calibri"/>
        <family val="2"/>
      </rPr>
      <t>Ustilago maydis
(faux-charbon)</t>
    </r>
    <r>
      <rPr>
        <sz val="12"/>
        <color rgb="FFFF0000"/>
        <rFont val="Calibri"/>
        <family val="2"/>
      </rPr>
      <t xml:space="preserve">
Les tumeurs grisâtres, pouvant atteindre la grosseur du poing, se développent sur les tiges ou les panicules. 
Le charbon peut avoir une influence sur le rendement
</t>
    </r>
    <r>
      <rPr>
        <b/>
        <sz val="12"/>
        <color rgb="FFFF0000"/>
        <rFont val="Calibri"/>
        <family val="2"/>
      </rPr>
      <t>Préventifs</t>
    </r>
    <r>
      <rPr>
        <sz val="12"/>
        <color rgb="FFFF0000"/>
        <rFont val="Calibri"/>
        <family val="2"/>
      </rPr>
      <t xml:space="preserve">
rotation culturale avec des plantes non hôtes
-éliminer les mauvaises herbes de proximité
-éviter les stress aux plants (excès d’azote, trop sec, trop mouillé) 
-éviter les semis trop denses
Utiliser des produits naturels : ail, bouse bovine
</t>
    </r>
    <r>
      <rPr>
        <b/>
        <sz val="12"/>
        <color rgb="FFFF0000"/>
        <rFont val="Calibri"/>
        <family val="2"/>
      </rPr>
      <t>Curatifs</t>
    </r>
    <r>
      <rPr>
        <sz val="12"/>
        <color rgb="FFFF0000"/>
        <rFont val="Calibri"/>
        <family val="2"/>
      </rPr>
      <t xml:space="preserve">
Hexaconazole
</t>
    </r>
  </si>
  <si>
    <r>
      <rPr>
        <b/>
        <sz val="12"/>
        <color rgb="FFFF0000"/>
        <rFont val="Calibri"/>
        <family val="2"/>
      </rPr>
      <t>Heteronychus sp (lamboantany)</t>
    </r>
    <r>
      <rPr>
        <sz val="12"/>
        <color rgb="FFFF0000"/>
        <rFont val="Calibri"/>
        <family val="2"/>
      </rPr>
      <t xml:space="preserve">
Dégâts : 
Flétrissement et desséchement des plantes, destruction des racines
Attaque la graine,
Attaque les jeunes plantes et causant la fonte de semi
</t>
    </r>
    <r>
      <rPr>
        <b/>
        <sz val="12"/>
        <color rgb="FFFF0000"/>
        <rFont val="Calibri"/>
        <family val="2"/>
      </rPr>
      <t>Préventifs</t>
    </r>
    <r>
      <rPr>
        <sz val="12"/>
        <color rgb="FFFF0000"/>
        <rFont val="Calibri"/>
        <family val="2"/>
      </rPr>
      <t xml:space="preserve">
Enrobage de semence dans la poudre de piment (pili-pili)
Labour profond pour se débarrasser des larves par ensoleillement, 
Enfouissement des feuilles de neem ou de faux neem pendant le deuxième labour 
Utilisation des produits naturels qui ont des vertus insecticides (tephrosia, tithonia …)
Eviter la rotation des cultures de sorgho et mil avec les mêmes plantes hôtes
</t>
    </r>
    <r>
      <rPr>
        <b/>
        <sz val="12"/>
        <color rgb="FFFF0000"/>
        <rFont val="Calibri"/>
        <family val="2"/>
      </rPr>
      <t>Curatifs</t>
    </r>
    <r>
      <rPr>
        <sz val="12"/>
        <color rgb="FFFF0000"/>
        <rFont val="Calibri"/>
        <family val="2"/>
      </rPr>
      <t xml:space="preserve">
Chlorpyriphos-ethyl
Imidaclopride
Tefluthrine
Carbosulfan
Imidaclopride + 
Thirame
</t>
    </r>
    <r>
      <rPr>
        <b/>
        <sz val="12"/>
        <color rgb="FFFF0000"/>
        <rFont val="Calibri"/>
        <family val="2"/>
      </rPr>
      <t xml:space="preserve">
Helicoverpa armigera (oletse vanda)</t>
    </r>
    <r>
      <rPr>
        <sz val="12"/>
        <color rgb="FFFF0000"/>
        <rFont val="Calibri"/>
        <family val="2"/>
      </rPr>
      <t xml:space="preserve">
Dégâts :
attaquent les feuilles et les inflorescences, tiges.
</t>
    </r>
    <r>
      <rPr>
        <b/>
        <sz val="12"/>
        <color rgb="FFFF0000"/>
        <rFont val="Calibri"/>
        <family val="2"/>
      </rPr>
      <t>Préventifs</t>
    </r>
    <r>
      <rPr>
        <sz val="12"/>
        <color rgb="FFFF0000"/>
        <rFont val="Calibri"/>
        <family val="2"/>
      </rPr>
      <t xml:space="preserve">
Utilisation des variétés à cycle court, résistantes, et tolérantes aux insectes.
- Labour ou binage pour éliminer les chenilles et chrysalides qui se trouvent dans le sol
- Eviter la culture simultanée avec des plants hôtes.
- Rotation des cultures 
- Elimination des plants hôtes sauvages qui servent des foyers
Après récolte, il faut enlever les résidus des plants hôtes. 
Effectuer les mesures de sanitation avant et pendant la saison
Pulvérisation des extraits de feuille de Neem tous les 7 jours pour une lutte curative
</t>
    </r>
    <r>
      <rPr>
        <b/>
        <sz val="12"/>
        <color rgb="FFFF0000"/>
        <rFont val="Calibri"/>
        <family val="2"/>
      </rPr>
      <t>Curatifs</t>
    </r>
    <r>
      <rPr>
        <sz val="12"/>
        <color rgb="FFFF0000"/>
        <rFont val="Calibri"/>
        <family val="2"/>
      </rPr>
      <t xml:space="preserve">
Acetamipride
Thiodicarbe
Abamectine
Malathion
Indoxacarbe
Deltamethrine
</t>
    </r>
    <r>
      <rPr>
        <b/>
        <sz val="12"/>
        <color rgb="FFFF0000"/>
        <rFont val="Calibri"/>
        <family val="2"/>
      </rPr>
      <t>Spodoptera frugiperda (bibiraty, sababaka)</t>
    </r>
    <r>
      <rPr>
        <sz val="12"/>
        <color rgb="FFFF0000"/>
        <rFont val="Calibri"/>
        <family val="2"/>
      </rPr>
      <t xml:space="preserve">
Dégâts :
Attaque les feuilles, les tiges, les panicules
</t>
    </r>
    <r>
      <rPr>
        <b/>
        <sz val="12"/>
        <color rgb="FFFF0000"/>
        <rFont val="Calibri"/>
        <family val="2"/>
      </rPr>
      <t>Préventifs</t>
    </r>
    <r>
      <rPr>
        <sz val="12"/>
        <color rgb="FFFF0000"/>
        <rFont val="Calibri"/>
        <family val="2"/>
      </rPr>
      <t xml:space="preserve">
- Utilisation des variétés à court cycle, résistants, et tolérantes.
- Labour ou binage pour éliminer les chenilles et chrysalides qui se trouvent dans le sol
- Eviter la culture simultanée des plants hôtes.
- La rotation des cultures est recommandée
- Elimination des plants hôtes sauvages qui servent des foyers
- Après récolte, il faut enlever les résidus des plants hôtes. 
- Effectuer les mesures sanitations  avant et pendant la saison
- Pulvérisation des extraits de feuille de Neem et de tithonia
- Application des poudres de tabac et piments 
- Application des produits chimiques  homologués contre les CLA 
</t>
    </r>
    <r>
      <rPr>
        <b/>
        <sz val="12"/>
        <color rgb="FFFF0000"/>
        <rFont val="Calibri"/>
        <family val="2"/>
      </rPr>
      <t>Curatifs</t>
    </r>
    <r>
      <rPr>
        <sz val="12"/>
        <color rgb="FFFF0000"/>
        <rFont val="Calibri"/>
        <family val="2"/>
      </rPr>
      <t xml:space="preserve">
Flubendiamide
Indoxacarbe
Acetamipride
Profenophos
Lambdacyhalotrine
Cypermethrine
</t>
    </r>
    <r>
      <rPr>
        <b/>
        <sz val="12"/>
        <color rgb="FFFF0000"/>
        <rFont val="Calibri"/>
        <family val="2"/>
      </rPr>
      <t>Foudia madagascariens  (Fody)</t>
    </r>
    <r>
      <rPr>
        <sz val="12"/>
        <color rgb="FFFF0000"/>
        <rFont val="Calibri"/>
        <family val="2"/>
      </rPr>
      <t xml:space="preserve">
Rongent les graines
</t>
    </r>
    <r>
      <rPr>
        <b/>
        <sz val="12"/>
        <color rgb="FFFF0000"/>
        <rFont val="Calibri"/>
        <family val="2"/>
      </rPr>
      <t>Préventifs</t>
    </r>
    <r>
      <rPr>
        <sz val="12"/>
        <color rgb="FFFF0000"/>
        <rFont val="Calibri"/>
        <family val="2"/>
      </rPr>
      <t xml:space="preserve">
Utilisation des épouvantails, gardiennage,
Utilisation de variété « Besomotre »
Piégeage, tapage des fody avec des objets sonorisant
Association culture sorgho et mil, mettre au milieu de la parcelle le sorgho et au niveau bordure de parcelle de mil de variété « Besomotre » 
( la technique ne doit pas etre utiliser par les producteurs de semences
Mettre des voiles ou sachet de protection de chandelle
Culture en masse de sorho et mil
Utilisation des variétés avec des panicules lâches
</t>
    </r>
  </si>
  <si>
    <r>
      <t>Sola</t>
    </r>
    <r>
      <rPr>
        <b/>
        <sz val="12"/>
        <color rgb="FFFF0000"/>
        <rFont val="Calibri"/>
        <family val="2"/>
      </rPr>
      <t>niu</t>
    </r>
    <r>
      <rPr>
        <b/>
        <sz val="12"/>
        <color rgb="FF000000"/>
        <rFont val="Calibri"/>
        <family val="2"/>
      </rPr>
      <t>m</t>
    </r>
  </si>
  <si>
    <t>Musa acuminata × balbisiana (groupe AAB – Plantain)</t>
  </si>
  <si>
    <t>La banane Lacatan est une variété très appréciée pour sa chair sucrée, fondante et légèrement parfumée. Elle a une peau rougeâtre à jaune orangé quand elle mûrit, ce qui la rend très reconnaissable. Elle est cultivée principalement pour la consommation locale à Madagascar, mais on commence aussi à la valoriser dans certains circuits de niche (marchés bio, hôtels, etc.). C’est une variété assez ancienne, bien adaptée au climat tropical.</t>
  </si>
  <si>
    <t>Température optimale de 20 à 30°C. Sensible au froid et au vent sec.</t>
  </si>
  <si>
    <t>Besoin en eau important : 1 500 à 2 000 mm/an. Nécessite une bonne répartition des pluies ou irrigation complémentaire.</t>
  </si>
  <si>
    <t>Climat tropical humide à subhumide, peu de vent fort. Les zones à brumes matinales favorisent la croissance.</t>
  </si>
  <si>
    <t>Toute l’année en zone humide, idéalement au début de la saison des pluies (novembre-décembre).</t>
  </si>
  <si>
    <t>2 000 à 2 500 plants/ha (espacement 2,5 m × 2 m ou 3 m × 2 m)</t>
  </si>
  <si>
    <t>rejet ou oeilleton</t>
  </si>
  <si>
    <t>Le régime se récolte lorsque les fruits sont bien formés (jaunissement de l’extrémité du fruit). Première récolte : 10 à 13 mois après plantation.</t>
  </si>
  <si>
    <t>Défrichage, labour léger ou travail du sol en poquets, incorporation de compost ou fumier avant plantation</t>
  </si>
  <si>
    <t>Sarclage régulier, désuckering (élimination des rejets superflus), élagage des feuilles sèches, tuteurage des plants à fruits lourds, gestion des rejets (1 mère + 1 fille + 1 petite)</t>
  </si>
  <si>
    <t>Fumier composté de bœuf ou de volaille : 10 à 15 tonnes/ha/an en deux apports (plantation et floraison)</t>
  </si>
  <si>
    <t>Dolomie : 500 kg/ha en préparation
- NPK : 300 kg/ha/an en 2 apports
- Urée : 100 kg/ha à la croissance végétative</t>
  </si>
  <si>
    <t>Musa acuminata, groupe génomique AAA.</t>
  </si>
  <si>
    <t>Musa acuminata, groupe génomique AAA</t>
  </si>
  <si>
    <r>
      <rPr>
        <b/>
        <sz val="12"/>
        <color theme="1"/>
        <rFont val="Calibri"/>
        <family val="2"/>
      </rPr>
      <t>Desciption</t>
    </r>
    <r>
      <rPr>
        <sz val="12"/>
        <color theme="1"/>
        <rFont val="Calibri"/>
        <family val="2"/>
      </rPr>
      <t xml:space="preserve">: le bananier est une plante herbacée vivace arborescente . C'est une plante herbacée car elle ne possède pas de tissus ligneux et la tige fructifère meurt après la saison de croissance. C'est une plante vivace car les rejets, pousses issues des bourgeons latéraux du rhizome, prennent le relais et se développent en tiges fructifères. </t>
    </r>
    <r>
      <rPr>
        <b/>
        <sz val="12"/>
        <color theme="1"/>
        <rFont val="Calibri"/>
        <family val="2"/>
      </rPr>
      <t>Historique</t>
    </r>
    <r>
      <rPr>
        <sz val="12"/>
        <color theme="1"/>
        <rFont val="Calibri"/>
        <family val="2"/>
      </rPr>
      <t xml:space="preserve">: Plante herbacée tropicale originaire d'Asie du Sud-Est, cultivée à Madagascar depuis des siècles
</t>
    </r>
    <r>
      <rPr>
        <sz val="12"/>
        <color rgb="FFFF0000"/>
        <rFont val="Calibri"/>
        <family val="2"/>
      </rPr>
      <t>La banane Batavia est une variété de type dessert. Elle a une peau jaune claire, des fruits de taille moyenne, et une chair sucrée. Elle est principalement cultivée pour la consommation locale à Madagascar. Elle est arrivée dans l’île par sélection naturelle ou par importation coloniale</t>
    </r>
  </si>
  <si>
    <r>
      <rPr>
        <sz val="12"/>
        <color rgb="FFFF0000"/>
        <rFont val="Calibri"/>
        <family val="2"/>
      </rPr>
      <t>Elle a besoin de</t>
    </r>
    <r>
      <rPr>
        <sz val="12"/>
        <color theme="1"/>
        <rFont val="Calibri"/>
        <family val="2"/>
      </rPr>
      <t xml:space="preserve"> 1 200 - 2 500 mm </t>
    </r>
    <r>
      <rPr>
        <sz val="12"/>
        <color rgb="FFFF0000"/>
        <rFont val="Calibri"/>
        <family val="2"/>
      </rPr>
      <t>de pluie bien répartie sur l'année</t>
    </r>
  </si>
  <si>
    <r>
      <rPr>
        <sz val="12"/>
        <color rgb="FFFF0000"/>
        <rFont val="Calibri"/>
        <family val="2"/>
      </rPr>
      <t>Elle se développe bien dans un</t>
    </r>
    <r>
      <rPr>
        <sz val="12"/>
        <color theme="1"/>
        <rFont val="Calibri"/>
        <family val="2"/>
      </rPr>
      <t xml:space="preserve"> Climat tropical humide</t>
    </r>
  </si>
  <si>
    <t>Utilisation de Rejets sains et vigoureux, environ 2 000 rejets/ ha</t>
  </si>
  <si>
    <t>Elle se fait entre 9 et 12 mois après plantation.</t>
  </si>
  <si>
    <t>Labour profond (30 à 40 cm), trous de plantation de 60 x 60 x 60 cm, incorporation de fumier ou compost.</t>
  </si>
  <si>
    <t>Désherbage régulier, paillage, sélection des rejets, tuteurage en zone venteuse.</t>
  </si>
  <si>
    <t>Fumier bien décomposé : 30 à 40 tonnes par hectare par an.</t>
  </si>
  <si>
    <t>urée 200 kg/ha</t>
  </si>
  <si>
    <t xml:space="preserve">Sigatoka noire : taches sur les feuilles. 
Lutte : éliminer les feuilles malades, fongicide si nécessaire.
 Maladie de Panama : flétrissement. 
Lutte : rotation, plants sains.
</t>
  </si>
  <si>
    <t xml:space="preserve">Ravageurs avec symptômes et luttes :
 • Charançon : trous dans le tronc. Lutte : piégeage, désinfection des rejets.
 • Thrips : taches brunes sur les fruits. Lutte : hygiène, traitement naturel.
</t>
  </si>
  <si>
    <t>Musa paradisiaca, groupe génomique AAB (banane plantain).</t>
  </si>
  <si>
    <r>
      <t xml:space="preserve">.
</t>
    </r>
    <r>
      <rPr>
        <sz val="12"/>
        <color rgb="FFFF0000"/>
        <rFont val="Calibri"/>
        <family val="2"/>
      </rPr>
      <t>La banane Poyo est une banane plantain traditionnelle, utilisée principalement pour la cuisson. Elle est très appréciée à Madagascar, surtout en zone rurale, où elle entre dans la composition de nombreux plats locaux. Ses fruits sont plus longs et moins sucrés que ceux des bananes dessert. À maturité, sa peau devient noire, et elle se consomme cuite à l’eau, frite ou bouillie. Cette variété est ancienne, présente dans les zones tropicales depuis des siècles, et bien adaptée au climat malgache.</t>
    </r>
  </si>
  <si>
    <t>Elle pousse bien entre 0 et 1 400 mètres. Elle est adaptée aux zones côtières comme aux Hautes Terres, mais donne de meilleurs rendements en dessous de 1 000 m</t>
  </si>
  <si>
    <r>
      <t xml:space="preserve">Sol profond (au moins 60cm de profondeur), bien drainé, et ne présentant ni une texture lourde, ni une faible perméabilité. Ph du sol optimal: 5,5 à </t>
    </r>
    <r>
      <rPr>
        <sz val="12"/>
        <color rgb="FFFF0000"/>
        <rFont val="Calibri"/>
        <family val="2"/>
      </rPr>
      <t>6,</t>
    </r>
    <r>
      <rPr>
        <sz val="12"/>
        <color rgb="FF000000"/>
        <rFont val="Calibri"/>
        <family val="2"/>
      </rPr>
      <t>5.</t>
    </r>
  </si>
  <si>
    <t>La température idéale se situe entre 24 et 32°C. Elle supporte les variations, mais la croissance ralentit en dessous de 18°C.</t>
  </si>
  <si>
    <t>Elle a besoin de 1 500 à 3 000 mm de pluie par an. En cas de saison sèche prolongée, l’irrigation est recommandée.</t>
  </si>
  <si>
    <t>Climat tropical humide. Elle n’aime pas le vent fort ni les sols trop secs.</t>
  </si>
  <si>
    <t>La plantation se fait au début de la saison des pluies, entre novembre et janvier.</t>
  </si>
  <si>
    <t>On plante 1 100 à 1 600 plants par hectare, en respectant un espacement de 2,5 m x 2,5 m ou 3 m x 2 m selon les pratiques.</t>
  </si>
  <si>
    <t>On utilise des rejets bien formés. Il faut environ 1 200 à 2 000 plants par hectare.</t>
  </si>
  <si>
    <t>On récolte quand les fruits sont bien développés, généralement 10 à 15 mois après plantation. La coupe se fait au moment où les fruits commencent à changer de couleur (jaune-vert).</t>
  </si>
  <si>
    <t>Le terrain doit être labouré profondément, avec des trous de plantation de 60 x 60 x 60 cm. On peut y mélanger du fumier ou du compost avant plantation.</t>
  </si>
  <si>
    <t xml:space="preserve">Il faut :
 • Éliminer les mauvaises herbes régulièrement
 • Supprimer les rejets inutiles
 • Pailler le sol
 • Tuteurer les plants si besoin
 • Entretenir les drains en saison des pluies
</t>
  </si>
  <si>
    <t>Utiliser du fumier bien décomposé ou du compost : environ 30 à 40 tonnes par hectare et par an, en plusieurs apports.</t>
  </si>
  <si>
    <t xml:space="preserve">Apporter du NPK 200 à 300 kg/ha
On peut aussi corriger l’acidité avec 2 à 3 tonnes de dolomie.
</t>
  </si>
  <si>
    <t xml:space="preserve">Maladie de Panama (fusariose) : flétrissement, jaunissement. Lutte : plants sains, éviter les zones infestées. -
 Sigatoka noire : taches noires sur les feuilles, baisse de production. Lutte : élimination des feuilles atteintes, fongicide biologique ou conventionnel.
Fusariose (Panama) : flétrissement général…
Lutte : rejets sains, rotation des cultures.
</t>
  </si>
  <si>
    <t>Charançon du bananier (Cosmopolites sordidus) : trous dans le pseudo-tronc, croissance ralentie. Lutte : pièges, hygiène culturale, insecticides ciblés.  
Nématodes : affaiblissement racinaire. Lutte : fumigation biologique, biofumigation, rotation.
Trips : taches sur fruits. Lutte : paillage, décoctions végétales (neem, ail).</t>
  </si>
  <si>
    <r>
      <rPr>
        <sz val="12"/>
        <rFont val="Calibri"/>
        <family val="2"/>
      </rPr>
      <t xml:space="preserve">Elle mésure entre 1;5 et 2m de hauteur. </t>
    </r>
    <r>
      <rPr>
        <sz val="12"/>
        <color rgb="FFFF0000"/>
        <rFont val="Calibri"/>
        <family val="2"/>
      </rPr>
      <t>La banane Naine est une variété de petite taille très populaire à Madagascar. Elle produit des régimes plus petits que la Grande Naine, mais avec des fruits très sucrés et fondants. Cette variété est appréciée localement pour sa rapidité de croissance et sa bonne adaptation aux différents climats tropicaux. Elle est souvent cultivée dans les jardins familiaux</t>
    </r>
  </si>
  <si>
    <t>La Naine pousse bien de 0 à 1 200 mètres d’altitude, avec de bonnes performances en basse altitude.</t>
  </si>
  <si>
    <t>Elle préfère un sol fertile, léger, bien drainé, avec un bon taux de matière organique. pH idéal : 5,5 à 6,5.</t>
  </si>
  <si>
    <t>La température optimale se situe entre 24 et 30°C. Elle supporte peu le froid.</t>
  </si>
  <si>
    <t>Elle nécessite environ 1 500 à 2 000 mm de pluie par an. En cas de sécheresse, un arrosage est recommandé.</t>
  </si>
  <si>
    <t>Climat tropical humide, avec peu de tolérance aux vents forts.</t>
  </si>
  <si>
    <t>La plantation doit se faire au début de la saison des pluies, généralement entre novembre et janvier.</t>
  </si>
  <si>
    <t>Une densité de 2 000 à 2 500 plants/ha est recommandée, avec un espacement de 2 m × 1,5 m.</t>
  </si>
  <si>
    <t>On utilise des rejets sains. Environ 2 000 à 2 500 plants/ha sont nécessaires.</t>
  </si>
  <si>
    <t>Les fruits sont prêts entre 7 et 10 mois après plantation. Ils sont récoltés quand la peau commence à jaunir</t>
  </si>
  <si>
    <r>
      <rPr>
        <sz val="12"/>
        <color rgb="FFFF0000"/>
        <rFont val="Calibri"/>
        <family val="2"/>
      </rPr>
      <t>Le sol doit être bien défriché et labouré. Des trous de plantation de 50 x 50 x 50 cm sont creusés et amendés avec du compost ou fumie</t>
    </r>
    <r>
      <rPr>
        <sz val="12"/>
        <color rgb="FF000000"/>
        <rFont val="Calibri"/>
        <family val="2"/>
      </rPr>
      <t>r.</t>
    </r>
  </si>
  <si>
    <t xml:space="preserve"> • Désherbage régulier
 • Taille des rejets pour limiter la densité
 • Paillage pour conserver l’humidité
 • Arrosage en saison sèche
</t>
  </si>
  <si>
    <t>Apport de compost ou fumier à raison de 20 à 40 tonnes/ha/an, répartis en plusieurs fois.</t>
  </si>
  <si>
    <t xml:space="preserve">• NPK 300  kg/ha
 • Urée : 100 kg/ha
 • Dolomie : 1 à 2 tonnes/ha si besoin
</t>
  </si>
  <si>
    <r>
      <rPr>
        <sz val="12"/>
        <color rgb="FFFF0000"/>
        <rFont val="Calibri"/>
        <family val="2"/>
      </rPr>
      <t xml:space="preserve"> • Sigatoka noire : taches noires sur les feuilles. 
Lutte : retirer feuilles malades, traitement fongicide bio.
 • Fusariose : flétrissement. Prévention avec plants sains.</t>
    </r>
    <r>
      <rPr>
        <sz val="12"/>
        <color rgb="FF000000"/>
        <rFont val="Calibri"/>
        <family val="2"/>
      </rPr>
      <t xml:space="preserve">
</t>
    </r>
  </si>
  <si>
    <t xml:space="preserve">Ravageurs avec symptômes et luttes :
 • Charançon noir : présence de trous sur le tronc, ralentissement de croissance. Lutte : nettoyage, enlèvement des parties atteintes.
 • Thrips : taches argentées sur les fruits. Lutte : paillage et traitement bio.
</t>
  </si>
  <si>
    <t>Ranjali</t>
  </si>
  <si>
    <t xml:space="preserve"> • Petite banane à peau fine, de couleur rose-jaune clair, avec une pulpe très sucrée, fondante et aromatique.
 • Consommée crue ou cuite, elle est très appréciée localement.
 • Présente principalement dans les régions de Toamasina, Mahajanga et Antsiranana.  </t>
  </si>
  <si>
    <t>Les bananes ranjali pousse de 0 à 800 m (optimale en zone côtière tropicale)</t>
  </si>
  <si>
    <t>Sol profond (au moins 60cm de profondeur), bien drainé, et ne présentant ni une texture lourde, ni une faible perméabilité.Sol  Sablo-argileux ou sablo-limoneux , pH 5,5 à 7,5.</t>
  </si>
  <si>
    <t>Température : Idéale entre 25–30 °C ; tolère 15–40 °C</t>
  </si>
  <si>
    <t>Elle nécessite environ 1 200 à  1400 mm de pluie bien répartie par an.</t>
  </si>
  <si>
    <t xml:space="preserve">Climat tropical humide, sensible à la sécheresse prolongée  </t>
  </si>
  <si>
    <t>Toute l'année avec irrigation, idéal en début de saison des pluies (octobre à décembre)</t>
  </si>
  <si>
    <t>1 600 à 2 000 pieds/ha (espacement 2,5 m x 2,5 m)</t>
  </si>
  <si>
    <t>Environ 1600 à 2 000 plants/ha</t>
  </si>
  <si>
    <t xml:space="preserve">9 à 14 mois après plantation selon les conditions, </t>
  </si>
  <si>
    <t>Musa acuminata (groupe diploïde AA)</t>
  </si>
  <si>
    <t>Défrichage, labour profond, desherbage et apport de matière organique</t>
  </si>
  <si>
    <t>Désherbage régulier, suppression des rejets superflus, paillage</t>
  </si>
  <si>
    <t>Compost ou fumier bien décomposé, 20 à 30 T/ha/an</t>
  </si>
  <si>
    <t xml:space="preserve">Apport de NPK à raison de 200 à 300 kg/ha/an, fractionné en 2 à 3 applications </t>
  </si>
  <si>
    <t xml:space="preserve">• Charançon du bananier (Cosmopolites sordidus) : Galeries dans le pseudo-tronc, affaiblissement de la plante
 • Nématodes : Déformation des racines, réduction de la croissance
 • Lutte : Utilisation de plants sains, rotation culturale, application d’insecticides et nématicides homologués
</t>
  </si>
  <si>
    <t xml:space="preserve">• Maladie de Panama (Fusarium oxysporum) : Jaunissement et flétrissement des feuilles
 • Sigatoka noire (Mycosphaerella fijiensis) : Taches nécrotiques sur les feuilles
 • Lutte : Élimination des feuilles infectées, amélioration de la circulation de l’air, traitements fongicides si nécessaire 
</t>
  </si>
  <si>
    <t>Batavia/ Grande Naine</t>
  </si>
  <si>
    <t>Persil</t>
  </si>
  <si>
    <t>Musa acuminata × balbisiana (groupe AAA)</t>
  </si>
  <si>
    <r>
      <t xml:space="preserve">Originaire d'Asie du Sud-Est, c'est une banane de grande taille,
</t>
    </r>
    <r>
      <rPr>
        <sz val="12"/>
        <color rgb="FFFF0000"/>
        <rFont val="Calibri"/>
        <family val="2"/>
      </rPr>
      <t>La banane Gros Michel est une ancienne variété très populaire avant l’introduction des Cavendish. Elle se distingue par ses grandes bananes sucrées, au goût parfumé. Le Malavonjo est l’un des noms locaux utilisés pour cette variété à Madagascar. Elle est appréciée pour sa résistance au transport et sa qualité gustative, mais reste sensible à certaines maladies comme la maladie de Panama.</t>
    </r>
  </si>
  <si>
    <t>Elle se développe bien dans des altitudes allant de 0 à 1200 mètres, selon les conditions climatiques locales</t>
  </si>
  <si>
    <t>Sol profond (au moins 60cm de profondeur), bien drainé, Ph du sol entre 5,5 et 7,5.</t>
  </si>
  <si>
    <t>La température optimale pour sa croissance est située entre 25 et 30°C.</t>
  </si>
  <si>
    <t>Elle a besoin de 1 500 - 2 000 mm de pluie bien répartie sur l'année</t>
  </si>
  <si>
    <t>Elle se développe bien dans un Climat tropical humide ou subtropical</t>
  </si>
  <si>
    <t>Plantation toute l'année en climat favorable, avec une préférence pour le début de la saison des pluies</t>
  </si>
  <si>
    <t>Utilisation de Rejets sains et vigoureux, environ 2 000  àà 2500 rejets/ ha</t>
  </si>
  <si>
    <t>rejet ou œilleton</t>
  </si>
  <si>
    <t>Elle se fait entre 9 et 14 mois après plantation.
À maturité, un régime peut peser 20 à 30 kg</t>
  </si>
  <si>
    <t>Défrichage, labour profond, trous de plantation dev50 x 50 x 50 cm, amendement organique</t>
  </si>
  <si>
    <t>Désherbage régulier, paillage, ébourgeonnage (1-2 rejets par pied), tuteurage, élimination des feuilles malades</t>
  </si>
  <si>
    <t>Fumier bien décomposé : 10 à 15 tonnes par hectare par an.</t>
  </si>
  <si>
    <t>Dolomie : 2-3 T/ha si sol acide ;
 NPK 300-500 kg/ha ;
Urée : 100-200 kg/ha</t>
  </si>
  <si>
    <t>Maladie de Panama : jaunissement, flétrissement ; Cercosporiose : taches noires ; Bunchy top : feuilles groupées. Lutte : plants sains, désinfection, fongicides si besoin.</t>
  </si>
  <si>
    <t>Charançon : trous dans le pseudotronc. Nématodes : racines faibles. Lutte : parage, traitement, rotation, piégeage.</t>
  </si>
  <si>
    <r>
      <t xml:space="preserve">Rejets sains, vigoureux, de 1,2 à 1,5 m de hauteur. Besoin de 2 000 à 2 500 rejets/ha.
OU </t>
    </r>
    <r>
      <rPr>
        <sz val="12"/>
        <rFont val="Calibri"/>
        <family val="2"/>
      </rPr>
      <t xml:space="preserve">œilleton de 50cm de haut </t>
    </r>
  </si>
  <si>
    <t>Carica papaya</t>
  </si>
  <si>
    <r>
      <t xml:space="preserve">Papaye </t>
    </r>
    <r>
      <rPr>
        <sz val="12"/>
        <color rgb="FFFF0000"/>
        <rFont val="Calibri"/>
        <family val="2"/>
      </rPr>
      <t>Solo</t>
    </r>
  </si>
  <si>
    <t>Papaye Solo</t>
  </si>
  <si>
    <r>
      <t xml:space="preserve">Originaire d'Hawaï,c'est une papaye de taille modérée, atteignant environ 2 à 3 mètres de hauteur avec un port dressé et un tronc central unique et creux. Les feuilles, grandes et palmées sont disposées en rosette au sommet du tronc. La variété est caractérisée par des fruits ovoïdes à piriformes avec une peau jaune et une chair orange vif, sucrée et parfumée.
</t>
    </r>
    <r>
      <rPr>
        <sz val="12"/>
        <color rgb="FFFF0000"/>
        <rFont val="Calibri"/>
        <family val="2"/>
      </rPr>
      <t xml:space="preserve">Elle a été nommée « Solo » car chaque fruit pèse autour de 300 à 500 g, idéal pour être consommé par une seule personne. </t>
    </r>
    <r>
      <rPr>
        <sz val="12"/>
        <color rgb="FF000000"/>
        <rFont val="Calibri"/>
        <family val="2"/>
      </rPr>
      <t xml:space="preserve">
Cette variété est hermaphrodite, ce qui lui permet d'avoir des fleurs fertiles sur un même pied et elle est particulièrement appréciée pour sa production précoce et sa résistane aux maladies.</t>
    </r>
  </si>
  <si>
    <t>Le papaye solo  pousse bien à basse et moyenne altitude : de 0 à 800 mètres.</t>
  </si>
  <si>
    <r>
      <t>Sol léger ou plaines alluvionnaires, bien drainés et riches en humus.</t>
    </r>
    <r>
      <rPr>
        <sz val="12"/>
        <color rgb="FFFF0000"/>
        <rFont val="Calibri"/>
        <family val="2"/>
      </rPr>
      <t xml:space="preserve"> pH idéal : entre 5,5 et 6,7</t>
    </r>
  </si>
  <si>
    <t xml:space="preserve">• Température optimale : entre 25 °C et 30 °C.
 • Sensible au froid (en dessous de 15 °C, croissance ralentie).
</t>
  </si>
  <si>
    <t>Elle nécessite environ 1500- 2000mm/an</t>
  </si>
  <si>
    <r>
      <rPr>
        <sz val="12"/>
        <color rgb="FFFF0000"/>
        <rFont val="Calibri"/>
        <family val="2"/>
      </rPr>
      <t xml:space="preserve">Elle nécessite environ </t>
    </r>
    <r>
      <rPr>
        <sz val="12"/>
        <rFont val="Calibri"/>
        <family val="2"/>
      </rPr>
      <t>350 à 400 mm</t>
    </r>
  </si>
  <si>
    <r>
      <rPr>
        <sz val="12"/>
        <color rgb="FFFF0000"/>
        <rFont val="Calibri"/>
        <family val="2"/>
      </rPr>
      <t xml:space="preserve">Elle nécessite environ </t>
    </r>
    <r>
      <rPr>
        <sz val="12"/>
        <rFont val="Calibri"/>
        <family val="2"/>
      </rPr>
      <t xml:space="preserve">600 mm </t>
    </r>
    <r>
      <rPr>
        <sz val="12"/>
        <color rgb="FFFF0000"/>
        <rFont val="Calibri"/>
        <family val="2"/>
      </rPr>
      <t>à</t>
    </r>
    <r>
      <rPr>
        <sz val="12"/>
        <rFont val="Calibri"/>
        <family val="2"/>
      </rPr>
      <t xml:space="preserve"> 1 200 mm</t>
    </r>
  </si>
  <si>
    <r>
      <rPr>
        <sz val="12"/>
        <color rgb="FFFF0000"/>
        <rFont val="Calibri"/>
        <family val="2"/>
      </rPr>
      <t xml:space="preserve">Elle nécessite environ  </t>
    </r>
    <r>
      <rPr>
        <sz val="12"/>
        <rFont val="Calibri"/>
        <family val="2"/>
      </rPr>
      <t>400</t>
    </r>
    <r>
      <rPr>
        <sz val="12"/>
        <color rgb="FFFF0000"/>
        <rFont val="Calibri"/>
        <family val="2"/>
      </rPr>
      <t xml:space="preserve"> à </t>
    </r>
    <r>
      <rPr>
        <sz val="12"/>
        <rFont val="Calibri"/>
        <family val="2"/>
      </rPr>
      <t>800 mm</t>
    </r>
  </si>
  <si>
    <t>Elle nécessite environ 300 à 400 mm d'eaubien réparties  pendant la durée de sa végétation.</t>
  </si>
  <si>
    <t>L’ail nécessite entre 250 et 300 mm d’eau bien répartie sur l’ensemble de son cycle végétatif.</t>
  </si>
  <si>
    <r>
      <rPr>
        <sz val="12"/>
        <color rgb="FFFF0000"/>
        <rFont val="Calibri"/>
        <family val="2"/>
      </rPr>
      <t xml:space="preserve">Elle nécessite environ </t>
    </r>
    <r>
      <rPr>
        <sz val="12"/>
        <color theme="1"/>
        <rFont val="Calibri"/>
        <family val="2"/>
      </rPr>
      <t xml:space="preserve">
800-1200 mm </t>
    </r>
    <r>
      <rPr>
        <sz val="12"/>
        <color rgb="FFFF0000"/>
        <rFont val="Calibri"/>
        <family val="2"/>
      </rPr>
      <t>bien répartie sur l’ensemble de son cycle végétatif.</t>
    </r>
  </si>
  <si>
    <r>
      <rPr>
        <sz val="12"/>
        <color rgb="FFFF0000"/>
        <rFont val="Calibri"/>
        <family val="2"/>
      </rPr>
      <t xml:space="preserve">Elle nécessite environ </t>
    </r>
    <r>
      <rPr>
        <sz val="12"/>
        <color theme="1"/>
        <rFont val="Calibri"/>
        <family val="2"/>
      </rPr>
      <t xml:space="preserve">700 à 1000 mm </t>
    </r>
    <r>
      <rPr>
        <sz val="12"/>
        <color rgb="FFFF0000"/>
        <rFont val="Calibri"/>
        <family val="2"/>
      </rPr>
      <t>bien répartie sur l’ensemble de son cycle végétatif.</t>
    </r>
  </si>
  <si>
    <t>Elle nécessite environ 800-1200mm bien répartie sur l’ensemble de son cycle végétatif.,
Il faut arroser régulièrement</t>
  </si>
  <si>
    <t>Elle nécessite environ 800-1200 mm bien répartie sur l’ensemble de son cycle végétatif.,
Il faut arroser régulièrement.</t>
  </si>
  <si>
    <r>
      <rPr>
        <sz val="12"/>
        <color rgb="FFFF0000"/>
        <rFont val="Calibri"/>
        <family val="2"/>
      </rPr>
      <t>Le besoin hydrique total de la coriandre  est estimé à :
 300 à 400 mm bien répartie sur l’ensemble de son cycle végétati</t>
    </r>
    <r>
      <rPr>
        <sz val="12"/>
        <color theme="1"/>
        <rFont val="Calibri"/>
        <family val="2"/>
      </rPr>
      <t>f.</t>
    </r>
  </si>
  <si>
    <t>Nécessite environ 1200-1500 mm</t>
  </si>
  <si>
    <t>Nécessite environ 1200-1500mm</t>
  </si>
  <si>
    <t>Nécessite environ1000-1400 mm</t>
  </si>
  <si>
    <t>Nécessite environ 800-1200 mm</t>
  </si>
  <si>
    <r>
      <t xml:space="preserve">climat chaud 
</t>
    </r>
    <r>
      <rPr>
        <sz val="12"/>
        <color rgb="FFFF0000"/>
        <rFont val="Calibri"/>
        <family val="2"/>
      </rPr>
      <t xml:space="preserve">Température optimale : entre 25 °C et 30 °C.
 Sensible au froid (en dessous de 15 °C, croissance ralentie).
</t>
    </r>
  </si>
  <si>
    <r>
      <t xml:space="preserve">Graine
</t>
    </r>
    <r>
      <rPr>
        <sz val="12"/>
        <color rgb="FFFF0000"/>
        <rFont val="Calibri"/>
        <family val="2"/>
      </rPr>
      <t xml:space="preserve"> • Quantité de semence min : 0,25 kg/ha.
 • Quantité de semence max : 0,30 kg/ha.</t>
    </r>
    <r>
      <rPr>
        <sz val="12"/>
        <color rgb="FF000000"/>
        <rFont val="Calibri"/>
        <family val="2"/>
      </rPr>
      <t xml:space="preserve">
</t>
    </r>
  </si>
  <si>
    <r>
      <rPr>
        <sz val="12"/>
        <color rgb="FFFF0000"/>
        <rFont val="Calibri"/>
        <family val="2"/>
      </rPr>
      <t xml:space="preserve">
 • Premiers fruits récoltés à partir de 9 mois après plantation.
 • Production régulière pendant 3 à 4 ans.
 • Jusqu’à 30 fruits/pied/an.</t>
    </r>
    <r>
      <rPr>
        <sz val="12"/>
        <color rgb="FF000000"/>
        <rFont val="Calibri"/>
        <family val="2"/>
      </rPr>
      <t xml:space="preserve">
</t>
    </r>
  </si>
  <si>
    <t>Papaye Solo waimanalo</t>
  </si>
  <si>
    <t xml:space="preserve">• Désherbage manuel ou paillage.
 • Éclaircissage des plants à 1 ou 2 par poquet.
 • Irrigation pendant la saison sèche.
 • Palissage possible dans les zones à vent fort.
</t>
  </si>
  <si>
    <t xml:space="preserve">Fumier de ferme ou compost : 20 kg/pied/an, en 2 à 3 apports, environ 20 à 25 T/ha/an.
</t>
  </si>
  <si>
    <r>
      <rPr>
        <b/>
        <sz val="12"/>
        <color rgb="FFFF0000"/>
        <rFont val="Calibri"/>
        <family val="2"/>
      </rPr>
      <t>Pépinière :</t>
    </r>
    <r>
      <rPr>
        <sz val="12"/>
        <color rgb="FFFF0000"/>
        <rFont val="Calibri"/>
        <family val="2"/>
      </rPr>
      <t xml:space="preserve">
 • Arrosage quotidien (sans excès).
 • Désherbage régulier.
 • Apport de compost ou purin dilué possible à partir de 2 semaines.
Durée en pépinière :
Environ 4 à 6 semaines (jusqu’à 4–5 feuilles bien formées).</t>
    </r>
    <r>
      <rPr>
        <b/>
        <sz val="12"/>
        <color rgb="FFFF0000"/>
        <rFont val="Calibri"/>
        <family val="2"/>
      </rPr>
      <t xml:space="preserve">
Lieu de plantation:</t>
    </r>
    <r>
      <rPr>
        <sz val="12"/>
        <color rgb="FFFF0000"/>
        <rFont val="Calibri"/>
        <family val="2"/>
      </rPr>
      <t xml:space="preserve">
• Labour profond (30–40 cm).
Faire des trous de 50cm en tous sens 1 mois avant plantation. 
 • Apport de compost ou fumier bien décomposé.
 • Bêchage ou trous de plantation de 50 cm x 50 cm x 50 cm.
</t>
    </r>
  </si>
  <si>
    <r>
      <rPr>
        <b/>
        <sz val="12"/>
        <color rgb="FF000000"/>
        <rFont val="Calibri"/>
        <family val="2"/>
      </rPr>
      <t xml:space="preserve">Pépinière: </t>
    </r>
    <r>
      <rPr>
        <sz val="12"/>
        <color rgb="FF000000"/>
        <rFont val="Calibri"/>
        <family val="2"/>
      </rPr>
      <t xml:space="preserve">Juillet- Août. Transplantationn: Novembre- Décembre
Pépinière: Prendre des semences fraichement récoltées, frotter sur une étoffe pour débarrasser du mucilage; faire sécher à l'ombre sur un papier journal; semer en gemoir en ligne espacées de 15-20cm ou directement en pots. La levée se fait après 15-20jours après semis.
 1 mois après la levée, repiquer en pépinière </t>
    </r>
  </si>
  <si>
    <r>
      <rPr>
        <sz val="12"/>
        <rFont val="Calibri"/>
        <family val="2"/>
      </rPr>
      <t>Plantation: Repiquer les plants de 50cm de hauteur (3mois); ecartement: 3m*2,5 à 3m</t>
    </r>
    <r>
      <rPr>
        <sz val="12"/>
        <color rgb="FFFF0000"/>
        <rFont val="Calibri"/>
        <family val="2"/>
      </rPr>
      <t xml:space="preserve">
 • Densité : 1 100 à 1 600 pieds/ha.
</t>
    </r>
  </si>
  <si>
    <t xml:space="preserve">• Dolomie :250 kg /ha avant plantation ou encore plus si pH acide.
 • NPK : 1T/ha (fractionné en 2 applications)
 • Urée (si nécessaire) : fractionnée selon l’âge.
</t>
  </si>
  <si>
    <t xml:space="preserve">La papaye Solo est cultivée dans les régions côtières comme Atsinanana, Analanjirofo, Diana.
 • Bien adaptée au climat tropical humide.
 • Forte demande locale et potentielle à l’exportation
 • Peu de producteurs utilisent des semences de qualité améliorée
</t>
  </si>
  <si>
    <r>
      <rPr>
        <sz val="12"/>
        <color rgb="FFFF0000"/>
        <rFont val="Calibri"/>
        <family val="2"/>
      </rPr>
      <t xml:space="preserve">Papaye Sunrise, Sunrise Solo, </t>
    </r>
    <r>
      <rPr>
        <sz val="12"/>
        <color rgb="FF000000"/>
        <rFont val="Calibri"/>
        <family val="2"/>
      </rPr>
      <t>Solo mena</t>
    </r>
  </si>
  <si>
    <r>
      <t xml:space="preserve">Sol léger ou plaines alluvionnaires, bien drainés et riches en humus. Terre rouge latéritique avec apport important de fumure organique.
</t>
    </r>
    <r>
      <rPr>
        <sz val="12"/>
        <color rgb="FFFF0000"/>
        <rFont val="Calibri"/>
        <family val="2"/>
      </rPr>
      <t>pH optimal : 5,5 à 6,8.</t>
    </r>
  </si>
  <si>
    <t xml:space="preserve"> • Idéale : entre 24 °C et 30 °C.
 • En dessous de 15 °C : ralentissement de la croissance.
</t>
  </si>
  <si>
    <t xml:space="preserve"> • Entre 1 200 et 2 000 mm/an.
 • Irrigation recommandée en saison sèche.
</t>
  </si>
  <si>
    <r>
      <t xml:space="preserve">climat chaud 
</t>
    </r>
    <r>
      <rPr>
        <sz val="12"/>
        <color rgb="FFFF0000"/>
        <rFont val="Calibri"/>
        <family val="2"/>
      </rPr>
      <t>• Tropical humide ou sub-humide.
 • Sensible à l’excès d’eau et au vent fort.
 • Exposition en plein soleil nécessaire.</t>
    </r>
    <r>
      <rPr>
        <sz val="12"/>
        <color rgb="FF000000"/>
        <rFont val="Calibri"/>
        <family val="2"/>
      </rPr>
      <t xml:space="preserve">
</t>
    </r>
  </si>
  <si>
    <r>
      <rPr>
        <sz val="12"/>
        <color rgb="FFFF0000"/>
        <rFont val="Calibri"/>
        <family val="2"/>
      </rPr>
      <t xml:space="preserve"> • Espacement : 2,5 m x 3 m.
 • Densité : entre 1 100 et 1 600 pieds/ha.</t>
    </r>
    <r>
      <rPr>
        <sz val="12"/>
        <color rgb="FF000000"/>
        <rFont val="Calibri"/>
        <family val="2"/>
      </rPr>
      <t xml:space="preserve">
</t>
    </r>
  </si>
  <si>
    <r>
      <rPr>
        <sz val="12"/>
        <color rgb="FFFF0000"/>
        <rFont val="Calibri"/>
        <family val="2"/>
      </rPr>
      <t xml:space="preserve"> • Type de semence : Graine.
 • Quantité de semence min (kg/ha) : 0,25 kg.
 • Quantité de semence max (kg/ha) : 0,30 kg.</t>
    </r>
    <r>
      <rPr>
        <sz val="12"/>
        <color rgb="FF000000"/>
        <rFont val="Calibri"/>
        <family val="2"/>
      </rPr>
      <t xml:space="preserve">
</t>
    </r>
  </si>
  <si>
    <r>
      <rPr>
        <sz val="12"/>
        <color rgb="FFFF0000"/>
        <rFont val="Calibri"/>
        <family val="2"/>
      </rPr>
      <t>• Premiers fruits dès le 9e mois.
 • Récolte continue pendant 3 à 4 ans.
 • 30 à 40 fruits par pied par an.</t>
    </r>
    <r>
      <rPr>
        <sz val="12"/>
        <color rgb="FF000000"/>
        <rFont val="Calibri"/>
        <family val="2"/>
      </rPr>
      <t xml:space="preserve">
</t>
    </r>
  </si>
  <si>
    <t xml:space="preserve"> • Cultivée principalement dans les régions chaudes et humides : Atsinanana, Analanjirofo, SAVA, Boeny.
 • Bien adaptée au climat malgache, mais nécessite irrigation en saison sèche.
 • Bonne demande locale pour le fruit frais et les jus artisanaux.
 • Opportunité pour l’exportation 
</t>
  </si>
  <si>
    <r>
      <rPr>
        <sz val="12"/>
        <color rgb="FFFF0000"/>
        <rFont val="Calibri"/>
        <family val="2"/>
      </rPr>
      <t>Papaye Solo Sunset</t>
    </r>
    <r>
      <rPr>
        <sz val="12"/>
        <color rgb="FF000000"/>
        <rFont val="Calibri"/>
        <family val="2"/>
      </rPr>
      <t>, Solo maitso mena</t>
    </r>
  </si>
  <si>
    <r>
      <t xml:space="preserve">C'est une variété issue d'un croisement entre la variété Sunrise et d'autres variétés de Solo. Elle est   relativement petite mesurant entre 1,5 et 2m de hauteur. Son tronc est droit, et elle présente un port compact avec des feuilles relativement petites, profondément lobées.Les fruits, de forme ronde et pesant généralement entre 300 et450g, ont une peau jaune-orange et une chair rouge clair, douce et sucrée. Elle est hermaphrodite.
</t>
    </r>
    <r>
      <rPr>
        <sz val="12"/>
        <color rgb="FFFF0000"/>
        <rFont val="Calibri"/>
        <family val="2"/>
      </rPr>
      <t>La papaye Solo Sunset est une sous-variante améliorée de la lignée Solo, développée à Hawaï. Elle a été sélectionnée pour sa peau fine, sa couleur attrayante (jaune orangé à maturité), et sa chair rouge foncé très sucrée. Elle est prisée sur les marchés frais, notamment pour les ventes en barquettes ou en fruits de petite taille. Sa forme est ovoïde, bien régulière.</t>
    </r>
  </si>
  <si>
    <t xml:space="preserve">Meilleure production entre 0 et 900 m.
 Supporte jusqu’à 1 000 m mais baisse du rendement à haute altitude.
</t>
  </si>
  <si>
    <r>
      <t xml:space="preserve">Sol léger ou plaines alluvionnaires, bien drainés et riches en humus. Terre rouge latéritique avec apport important de fumure organique.
</t>
    </r>
    <r>
      <rPr>
        <sz val="12"/>
        <color rgb="FFFF0000"/>
        <rFont val="Calibri"/>
        <family val="2"/>
      </rPr>
      <t>Tolère mal les sols lourds ou hydromorphes.</t>
    </r>
  </si>
  <si>
    <r>
      <rPr>
        <sz val="12"/>
        <color rgb="FFFF0000"/>
        <rFont val="Calibri"/>
        <family val="2"/>
      </rPr>
      <t xml:space="preserve"> • Température idéale : 24 °C à 30 °C.
 • Sensible à la fraîcheur (ralentissement en dessous de 18 °C)</t>
    </r>
    <r>
      <rPr>
        <sz val="12"/>
        <color rgb="FF000000"/>
        <rFont val="Calibri"/>
        <family val="2"/>
      </rPr>
      <t xml:space="preserve">.
</t>
    </r>
  </si>
  <si>
    <r>
      <t xml:space="preserve">Elle nécessite environ1500- 2000mm/an
</t>
    </r>
    <r>
      <rPr>
        <sz val="12"/>
        <color rgb="FFFF0000"/>
        <rFont val="Calibri"/>
        <family val="2"/>
      </rPr>
      <t>Nécessite arrosage complémentaire en saison sèche</t>
    </r>
    <r>
      <rPr>
        <sz val="12"/>
        <color rgb="FF000000"/>
        <rFont val="Calibri"/>
        <family val="2"/>
      </rPr>
      <t>.</t>
    </r>
  </si>
  <si>
    <r>
      <t xml:space="preserve">climat chaud </t>
    </r>
    <r>
      <rPr>
        <sz val="12"/>
        <color rgb="FFFF0000"/>
        <rFont val="Calibri"/>
        <family val="2"/>
      </rPr>
      <t>humide</t>
    </r>
  </si>
  <si>
    <t xml:space="preserve">* Pucerons : feuilles enroulées, transmission de virus.
 • Lutte : neem, savon noir, prédateurs naturels.
 • Mouches des fruits : fruits piqués, pourriture.
 • Lutte : pièges attractifs, filets anti-insectes.
 • Acariens rouges : jaunissement des feuilles.
 • Lutte : acaricides bio ou extraits végétaux.
</t>
  </si>
  <si>
    <r>
      <rPr>
        <sz val="12"/>
        <color rgb="FFFF0000"/>
        <rFont val="Calibri"/>
        <family val="2"/>
      </rPr>
      <t xml:space="preserve"> • Anthracnose : taches noires sur fruits.
 • Lutte : récolte fréquente, traitements fongiques.
 • PRSV (Virus de la tache annulaire) : mosaïque, nanisme.
• Lutte : arrachage, prévention contre les pucerons.
 • Pourriture du collet : flétrissement, mort du plant.
 • Lutte : bon drainage, rotation culturale.
</t>
    </r>
    <r>
      <rPr>
        <sz val="12"/>
        <color rgb="FF000000"/>
        <rFont val="Calibri"/>
        <family val="2"/>
      </rPr>
      <t xml:space="preserve">
Anthracnose: Récolter les fruits avant leur jaunissement, ne pas replanter le terrain déjà infesté, désherbage régulier, utiliser des semences saines, eliminer et brûler les plants infestés, Eviter les terrains gorgés d'eau, planter sur butte en zone humide. Phytophora: apporter une bonne fumure, éliminer et brûler les plants infestés, ne pas replanter le terrain infesté..</t>
    </r>
  </si>
  <si>
    <t xml:space="preserve">• Peu cultivée mais bien adaptée aux régions littorales : Atsimo-Atsinanana, SAVA, Diana.
 • Appréciée pour sa qualité gustative et son calibrage.
 • Potentiel de développement dans les zones irrigables.
 • Intéressant pour l’export 
</t>
  </si>
  <si>
    <r>
      <t xml:space="preserve">Originaire d'Hawaï,c'est un papaye robuste, pouvant atteindre 2,5 à 3,5m de hauteur avec un port large et bien ramifié. Elle présente des feuilles grandes et très découpées, vert foncé, sur de longs pétioles. Les fruits pèsent 600à 900g, avec une peau jaune brillante et une chair rouge orangée, dense, sucrée et peu fibreuse. Cette variété est hermaphrodite.
</t>
    </r>
    <r>
      <rPr>
        <sz val="12"/>
        <color rgb="FFFF0000"/>
        <rFont val="Calibri"/>
        <family val="2"/>
      </rPr>
      <t>La papaye Waimanalo est une variété développée à Hawaï, dérivée de la lignée Solo, dans le but d’obtenir des fruits plus gros et plus ronds que les autres types Solo. Elle a une chair rouge foncé très sucrée et une peau lisse. Elle est cultivée à des fins commerciales, surtout pour la consommation fraîche. Elle est bien adaptée aux zones tropicales humide</t>
    </r>
    <r>
      <rPr>
        <sz val="12"/>
        <color rgb="FF000000"/>
        <rFont val="Calibri"/>
        <family val="2"/>
      </rPr>
      <t>s.</t>
    </r>
  </si>
  <si>
    <r>
      <t xml:space="preserve">Sol léger ou plaines alluvionnaires, bien drainés et riches en humus. Terre rouge latéritique avec apport important de fumure organique.
</t>
    </r>
    <r>
      <rPr>
        <sz val="12"/>
        <color rgb="FFFF0000"/>
        <rFont val="Calibri"/>
        <family val="2"/>
      </rPr>
      <t>pH recommandé : 5,5 à 6,5.</t>
    </r>
  </si>
  <si>
    <r>
      <rPr>
        <sz val="12"/>
        <color rgb="FFFF0000"/>
        <rFont val="Calibri"/>
        <family val="2"/>
      </rPr>
      <t>• Température optimale : 24 à 30 °C.
 • Sensible aux températures inférieures à 15 °C.</t>
    </r>
    <r>
      <rPr>
        <sz val="12"/>
        <color rgb="FF000000"/>
        <rFont val="Calibri"/>
        <family val="2"/>
      </rPr>
      <t xml:space="preserve">
</t>
    </r>
  </si>
  <si>
    <r>
      <t xml:space="preserve">Elle nécessite environ 1500- 2000mm/an
</t>
    </r>
    <r>
      <rPr>
        <sz val="12"/>
        <color rgb="FFFF0000"/>
        <rFont val="Calibri"/>
        <family val="2"/>
      </rPr>
      <t xml:space="preserve">Arrosage régulier nécessaire en saison sèche.
 Éviter les excès d’humidité au niveau des racines.
</t>
    </r>
  </si>
  <si>
    <t xml:space="preserve">• Climat tropical chaud et humide.
 • Bonne lumière solaire nécessaire.
 • Sensible aux vents violents.
</t>
  </si>
  <si>
    <r>
      <rPr>
        <sz val="12"/>
        <color rgb="FFFF0000"/>
        <rFont val="Calibri"/>
        <family val="2"/>
      </rPr>
      <t>• Variété peu répandue mais prometteuse.
 • Bien adaptée aux régions de la côte Est, Sud-Est et Nord-Ouest.
 • Excellente pour les petits producteurs disposant de systèmes d’irrigation</t>
    </r>
    <r>
      <rPr>
        <sz val="12"/>
        <color rgb="FF000000"/>
        <rFont val="Calibri"/>
        <family val="2"/>
      </rPr>
      <t xml:space="preserve">.
</t>
    </r>
  </si>
  <si>
    <r>
      <rPr>
        <sz val="12"/>
        <color rgb="FFFF0000"/>
        <rFont val="Calibri"/>
        <family val="2"/>
      </rPr>
      <t xml:space="preserve">Ipomea </t>
    </r>
    <r>
      <rPr>
        <sz val="12"/>
        <color rgb="FF000000"/>
        <rFont val="Calibri"/>
        <family val="2"/>
      </rPr>
      <t>batatas</t>
    </r>
  </si>
  <si>
    <r>
      <rPr>
        <sz val="12"/>
        <color rgb="FFFF0000"/>
        <rFont val="Calibri"/>
        <family val="2"/>
      </rPr>
      <t>Patate douce
Vomanga
V</t>
    </r>
    <r>
      <rPr>
        <sz val="12"/>
        <color rgb="FF000000"/>
        <rFont val="Calibri"/>
        <family val="2"/>
      </rPr>
      <t xml:space="preserve">omanga </t>
    </r>
    <r>
      <rPr>
        <sz val="12"/>
        <color rgb="FFFF0000"/>
        <rFont val="Calibri"/>
        <family val="2"/>
      </rPr>
      <t>K</t>
    </r>
    <r>
      <rPr>
        <sz val="12"/>
        <color rgb="FF000000"/>
        <rFont val="Calibri"/>
        <family val="2"/>
      </rPr>
      <t>aroty</t>
    </r>
  </si>
  <si>
    <r>
      <rPr>
        <sz val="12"/>
        <color rgb="FFFF0000"/>
        <rFont val="Calibri"/>
        <family val="2"/>
      </rPr>
      <t>La patate douce Vomanga Karoty est une variété traditionnelle très répandue à Madagascar. Elle est nommée « Vomanga Karoty » en raison de la couleur orange vif de sa chair, proche de celle de la carotte, qui est riche en bêta-carotène. Cette variété est appréciée pour sa saveur douce et son adaptation aux sols locaux. Elle est cultivée depuis longtemps dans plusieurs régions agricoles de Madagascar, notamment dans le Sud et le Sud-Ouest.</t>
    </r>
    <r>
      <rPr>
        <sz val="12"/>
        <color rgb="FF000000"/>
        <rFont val="Calibri"/>
        <family val="2"/>
      </rPr>
      <t xml:space="preserve">
La plante présente des tiges rampantes, longues et souples, de couleur vert à légèrement pourpre, pouvant couvrir rapidement le sol. Ses feuilles sont en forme de cœur ou légèrement lobées, de couleur vert foncé, parfois teintées de pourpre sur les nervures. Les tubercules sont de forme  allongée à la fusiforme avec une peau fine de couleur rougeâtre à brun clair. </t>
    </r>
  </si>
  <si>
    <r>
      <rPr>
        <sz val="12"/>
        <color rgb="FFFF0000"/>
        <rFont val="Calibri"/>
        <family val="2"/>
      </rPr>
      <t>• Cultivable de</t>
    </r>
    <r>
      <rPr>
        <sz val="12"/>
        <rFont val="Calibri"/>
        <family val="2"/>
      </rPr>
      <t xml:space="preserve"> 0 à 1 800 mètres </t>
    </r>
    <r>
      <rPr>
        <sz val="12"/>
        <color rgb="FFFF0000"/>
        <rFont val="Calibri"/>
        <family val="2"/>
      </rPr>
      <t>d’altitude.
 • Préfère les zones basses et moyennes altitudes où la température est plus stable.</t>
    </r>
    <r>
      <rPr>
        <sz val="12"/>
        <color rgb="FF000000"/>
        <rFont val="Calibri"/>
        <family val="2"/>
      </rPr>
      <t xml:space="preserve">
</t>
    </r>
  </si>
  <si>
    <r>
      <rPr>
        <sz val="12"/>
        <color rgb="FFFF0000"/>
        <rFont val="Calibri"/>
        <family val="2"/>
      </rPr>
      <t>• Température optimale entre 20 et 30 °C.
 • Sensible aux gelées et aux températures inférieures à 15 °C.</t>
    </r>
    <r>
      <rPr>
        <sz val="12"/>
        <color rgb="FF000000"/>
        <rFont val="Calibri"/>
        <family val="2"/>
      </rPr>
      <t xml:space="preserve">
</t>
    </r>
  </si>
  <si>
    <r>
      <rPr>
        <sz val="12"/>
        <color rgb="FFFF0000"/>
        <rFont val="Calibri"/>
        <family val="2"/>
      </rPr>
      <t>• Précipitations annuelles idéales : 800 à 1 200 mm bien répartis.
 • Résiste à une certaine sécheresse, mais un arrosage régulier augmente le rendement.
 • Nécessite un bon drainage pour éviter la pourriture des tubercules</t>
    </r>
    <r>
      <rPr>
        <sz val="12"/>
        <color rgb="FF000000"/>
        <rFont val="Calibri"/>
        <family val="2"/>
      </rPr>
      <t xml:space="preserve">.
</t>
    </r>
  </si>
  <si>
    <r>
      <rPr>
        <sz val="12"/>
        <color rgb="FFFF0000"/>
        <rFont val="Calibri"/>
        <family val="2"/>
      </rPr>
      <t>• Adaptée au climat tropical semi-aride et tropical humide.
 • Tolère les périodes sèches courtes.
 • Climat chaud et ensoleillé favorise la croissance.</t>
    </r>
    <r>
      <rPr>
        <sz val="12"/>
        <color rgb="FF000000"/>
        <rFont val="Calibri"/>
        <family val="2"/>
      </rPr>
      <t xml:space="preserve">
</t>
    </r>
  </si>
  <si>
    <r>
      <rPr>
        <sz val="12"/>
        <color rgb="FFFF0000"/>
        <rFont val="Calibri"/>
        <family val="2"/>
      </rPr>
      <t>• Semis recommandé en début de saison des pluies (novembre à décembre).
 • Peut être plantée également en début de saison sèche si irrigation disponible.</t>
    </r>
    <r>
      <rPr>
        <sz val="12"/>
        <color rgb="FF000000"/>
        <rFont val="Calibri"/>
        <family val="2"/>
      </rPr>
      <t xml:space="preserve">
</t>
    </r>
  </si>
  <si>
    <t xml:space="preserve">• Espacement recommandé : 80 cm entre rangs, 30 à 40 cm entre plants.
 • Densité moyenne : 30 000 à 40 000 plants/ha.
</t>
  </si>
  <si>
    <t>Boutures (plants prélevés sur des tiges mûres).</t>
  </si>
  <si>
    <r>
      <t xml:space="preserve">Bouture
</t>
    </r>
    <r>
      <rPr>
        <sz val="12"/>
        <rFont val="Calibri"/>
        <family val="2"/>
      </rPr>
      <t>Tige ou lianes : 25-30 cm (avec 3 à 4 nœuds)</t>
    </r>
  </si>
  <si>
    <t>Urée: 30 à 175 kg/ha, en 2 apports :
 • 50 % à la plantation
 • 50 % 30 jours après (en entretien)</t>
  </si>
  <si>
    <t>semer  fin AOUT_ début SEPTEMBRE pour pouvoir récolter avant les fortes pluies, cependant  on peut semer le bred  morelle de fin AOUT à fin MARS .On aura des productions de OCTOBRE à MAI</t>
  </si>
  <si>
    <t xml:space="preserve">Récolte principale entre 4 et 6 mois après plantation.
 Les tubercules sont récoltés à maturité, lorsque les feuilles jaunissent.
</t>
  </si>
  <si>
    <r>
      <rPr>
        <sz val="12"/>
        <color rgb="FFFF0000"/>
        <rFont val="Calibri"/>
        <family val="2"/>
      </rPr>
      <t>• Labour profond à 20-30 cm.
Labourer  un mois avant la plantation
 • Désherbage préalable conseillé.
 • Mise en place de buttes pour faciliter le drainage et la croissance des tubercules</t>
    </r>
    <r>
      <rPr>
        <sz val="12"/>
        <color rgb="FF000000"/>
        <rFont val="Calibri"/>
        <family val="2"/>
      </rPr>
      <t xml:space="preserve">.
</t>
    </r>
  </si>
  <si>
    <t xml:space="preserve">• Sarclage fréquent pour éviter la concurrence des mauvaises herbes.
 • Paillage recommandé pour conserver l’humidité du sol.
 • Surveillance régulière des attaques de parasites.
</t>
  </si>
  <si>
    <t xml:space="preserve">• Fumier bien décomposé ou compost, environ 10 à 15 tonnes/ha.
 • Apport au moment de la préparation du sol.
</t>
  </si>
  <si>
    <r>
      <rPr>
        <sz val="12"/>
        <color rgb="FFFF0000"/>
        <rFont val="Calibri"/>
        <family val="2"/>
      </rPr>
      <t>• Dolomie : 0,5 à 1 tonne/ha pour corriger l’acidité du sol.
 • NPK 12-12-17 : 150 à 200 kg/ha répartis en 2 apports (au semis et 30 jours après).
 • Urée : 50 à 70 kg/ha en apport fractionné.</t>
    </r>
    <r>
      <rPr>
        <sz val="12"/>
        <color rgb="FF000000"/>
        <rFont val="Calibri"/>
        <family val="2"/>
      </rPr>
      <t xml:space="preserve">
</t>
    </r>
  </si>
  <si>
    <r>
      <rPr>
        <sz val="12"/>
        <color rgb="FFFF0000"/>
        <rFont val="Calibri"/>
        <family val="2"/>
      </rPr>
      <t>• Dolomie : 0,5 à 1 tonne/ha pour corriger l’acidité du sol.
 • NPK : 150 à 200 kg/ha répartis en 2 apports (au semis et 30 jours après).
 • Urée : 50 à 70 kg/ha en apport fractionné.</t>
    </r>
    <r>
      <rPr>
        <sz val="12"/>
        <color rgb="FF000000"/>
        <rFont val="Calibri"/>
        <family val="2"/>
      </rPr>
      <t xml:space="preserve">
</t>
    </r>
  </si>
  <si>
    <r>
      <rPr>
        <sz val="12"/>
        <color rgb="FFFF0000"/>
        <rFont val="Calibri"/>
        <family val="2"/>
      </rPr>
      <t>• Pourriture noire (Cylindrocladium) : taches noires sur tubercules.
 • Lutte : éviter excès d’humidité, traitement fongicide au besoin.
 • Mildiou : taches jaunes sur feuilles, chute prématurée.
 • Lutte : traitement fongicide, élimination des feuilles malades.
 • Virus de la mosaïque : décoloration des feuilles.
 • Lutte : destruction des plants contaminés, contrôle des pucerons.</t>
    </r>
    <r>
      <rPr>
        <sz val="12"/>
        <color rgb="FF000000"/>
        <rFont val="Calibri"/>
        <family val="2"/>
      </rPr>
      <t xml:space="preserve">
</t>
    </r>
  </si>
  <si>
    <r>
      <rPr>
        <sz val="12"/>
        <color rgb="FFFF0000"/>
        <rFont val="Calibri"/>
        <family val="2"/>
      </rPr>
      <t xml:space="preserve"> • Charançon de la patate douce : trous dans les tubercules.
 • Lutte : rotation culturale, traitement des tubercules avant plantation.
 • Pucerons : déformation des feuilles, transmission de virus.
 • Lutte : insecticides naturels (savon noir), lutte biologique.
 • Nématodes : tubercules déformés, racines lésées.
 • Lutte : rotation avec cultures non hôtes, usage de variétés résistantes.</t>
    </r>
    <r>
      <rPr>
        <sz val="12"/>
        <color rgb="FF000000"/>
        <rFont val="Calibri"/>
        <family val="2"/>
      </rPr>
      <t xml:space="preserve">
</t>
    </r>
  </si>
  <si>
    <t xml:space="preserve">• Très cultivée dans le Sud-Ouest (Toliara, Betioky), régions où la patate douce est un aliment de base.
 • Très bonne adaptation aux sols pauvres et climats semi-arides.
 • La chair orange est appréciée pour sa richesse en vitamine A.
 • Utilisée aussi bien en alimentation humaine qu’en alimentation animale.
 • Production souvent destinée au marché local et à la consommation familiale.
</t>
  </si>
  <si>
    <t>Patate douce
Patate douce Mahafaly
Vomanga
VomangaMahafaly</t>
  </si>
  <si>
    <r>
      <rPr>
        <sz val="12"/>
        <color rgb="FFFF0000"/>
        <rFont val="Calibri"/>
        <family val="2"/>
      </rPr>
      <t>La variété Mahafaly, aussi connue sous le code TIS 2544, est une variété améliorée introduite dans les zones arides et semi-arides de Madagascar, notamment dans la région Mahafaly (Sud-Ouest). Elle est reconnue pour sa bonne résistance à la sécheresse et ses tubercules à chair jaune-orangée. Cette variété est utilisée aussi bien pour l’alimentation humaine que pour l’élevage, grâce à son bon rendement et sa qualité nutritionnelle</t>
    </r>
    <r>
      <rPr>
        <sz val="12"/>
        <color theme="1"/>
        <rFont val="Calibri"/>
        <family val="2"/>
      </rPr>
      <t>.</t>
    </r>
  </si>
  <si>
    <t xml:space="preserve"> • Adaptée de 0 à 1 200 mètres d’altitude.
 • Privilégier les zones basses avec climat chaud et sec.
</t>
  </si>
  <si>
    <r>
      <rPr>
        <sz val="12"/>
        <color rgb="FFFF0000"/>
        <rFont val="Calibri"/>
        <family val="2"/>
      </rPr>
      <t xml:space="preserve"> • Sols sablo-limoneux bien drainés.
 • Préférence pour les sols légers à moyennement fertiles.
 • pH optimal entre 5,5 et 6,5.</t>
    </r>
    <r>
      <rPr>
        <sz val="12"/>
        <color rgb="FF000000"/>
        <rFont val="Calibri"/>
        <family val="2"/>
      </rPr>
      <t xml:space="preserve">
</t>
    </r>
  </si>
  <si>
    <r>
      <rPr>
        <sz val="12"/>
        <color rgb="FFFF0000"/>
        <rFont val="Calibri"/>
        <family val="2"/>
      </rPr>
      <t>• Température optimale : 22 à 30 °C.
 • Sensible aux températures inférieures à 15 °C.</t>
    </r>
    <r>
      <rPr>
        <sz val="12"/>
        <color theme="1"/>
        <rFont val="Calibri"/>
        <family val="2"/>
      </rPr>
      <t xml:space="preserve">
</t>
    </r>
  </si>
  <si>
    <r>
      <rPr>
        <sz val="12"/>
        <color rgb="FFFF0000"/>
        <rFont val="Calibri"/>
        <family val="2"/>
      </rPr>
      <t xml:space="preserve"> • Besoin modéré en eau : 800 à 1 200 mm/an.
 • Tolérance élevée à la sécheresse.
 • Irrigation utile en saison sèche pour optimiser les rendements.</t>
    </r>
    <r>
      <rPr>
        <sz val="12"/>
        <color theme="1"/>
        <rFont val="Calibri"/>
        <family val="2"/>
      </rPr>
      <t xml:space="preserve">
</t>
    </r>
  </si>
  <si>
    <t xml:space="preserve"> • Climat tropical semi-aride à aride.
 • Résiste aux périodes de sécheresse intermittentes.
</t>
  </si>
  <si>
    <r>
      <rPr>
        <sz val="12"/>
        <color rgb="FFFF0000"/>
        <rFont val="Calibri"/>
        <family val="2"/>
      </rPr>
      <t xml:space="preserve"> • Espacement recommandé : 75 cm entre rangs, 30 cm entre plants.
 • Densité : environ 40 000 plants/ha.</t>
    </r>
    <r>
      <rPr>
        <sz val="12"/>
        <color rgb="FF000000"/>
        <rFont val="Calibri"/>
        <family val="2"/>
      </rPr>
      <t xml:space="preserve">
</t>
    </r>
  </si>
  <si>
    <t xml:space="preserve">Récolte principale entre 4 et 6 mois après plantation.
 Les tubercules sont récoltés à maturité, lorsque les feuilles jaunissent.
Tubercules bien formés, de taille moyenne à grosse.
</t>
  </si>
  <si>
    <t xml:space="preserve">• Fumier bien décomposé ou compost, environ 10 à 20 tonnes/ha.
 • Apport au moment de la préparation du sol.
</t>
  </si>
  <si>
    <r>
      <rPr>
        <sz val="12"/>
        <color rgb="FFFF0000"/>
        <rFont val="Calibri"/>
        <family val="2"/>
      </rPr>
      <t xml:space="preserve"> • Très adaptée aux régions arides du Sud et Sud-Ouest, notamment à Toliara, Betioky.
 • Varieté appréciée pour sa tolérance à la sécheresse et ses bons rendements.
 • Utilisée pour la consommation locale et l’élevage.
 • Contribue à la sécurité alimentaire dans les zones difficiles.</t>
    </r>
    <r>
      <rPr>
        <sz val="12"/>
        <color theme="1"/>
        <rFont val="Calibri"/>
        <family val="2"/>
      </rPr>
      <t xml:space="preserve">
</t>
    </r>
  </si>
  <si>
    <r>
      <t>Ipomea batata</t>
    </r>
    <r>
      <rPr>
        <sz val="12"/>
        <color rgb="FFFF0000"/>
        <rFont val="Calibri"/>
        <family val="2"/>
      </rPr>
      <t>s</t>
    </r>
  </si>
  <si>
    <t>Patate douce
Patate douce Sihanaka
Vomanga
Vomanga Sihanaka</t>
  </si>
  <si>
    <t>La variété Sihanaka est une variété locale de patate douce cultivée dans plusieurs régions de Madagascar. Elle est connue pour sa chair jaune clair, sa saveur douce et sa bonne capacité de conservation. Elle est largement utilisée par les communautés rurales pour la consommation familiale ainsi que pour la vente sur les marchés locaux. La variété Sihanaka est particulièrement adaptée aux zones à climat tropical humide.</t>
  </si>
  <si>
    <t xml:space="preserve"> • Cultivable entre 0 et 1 500 mètres d’altitude.
 • Peut s’adapter aussi bien aux zones basses qu’aux zones de moyenne altitude.
</t>
  </si>
  <si>
    <r>
      <rPr>
        <sz val="12"/>
        <color rgb="FFFF0000"/>
        <rFont val="Calibri"/>
        <family val="2"/>
      </rPr>
      <t xml:space="preserve"> • Sols sablo-limoneux à limoneux, bien drainés.
 • Préfère les sols riches en matière organique avec un pH de 5,5 à 6,8.
 • Sensible aux sols compactés et mal drainés.</t>
    </r>
    <r>
      <rPr>
        <sz val="12"/>
        <color rgb="FF000000"/>
        <rFont val="Calibri"/>
        <family val="2"/>
      </rPr>
      <t xml:space="preserve">
</t>
    </r>
  </si>
  <si>
    <t xml:space="preserve"> • Température optimale entre 20 et 30 °C.
 • Sensible au gel et aux températures inférieures à 15 °C.
</t>
  </si>
  <si>
    <t xml:space="preserve"> • Besoin modéré en eau : 800 à 1 200 mm par an.
 • Supporte bien les précipitations irrégulières.
 • Un bon drainage est nécessaire pour éviter la pourriture.
</t>
  </si>
  <si>
    <t xml:space="preserve">• Adaptée au climat tropical humide et subhumide.
 • Supporte les variations saisonnières mais pas les excès d’humidité.
</t>
  </si>
  <si>
    <t xml:space="preserve"> • Espacement recommandé : 80 cm entre rangs, 30 à 40 cm entre plants.
 • Densité de plantation de 30 000 à 40 000 plants/ha.
</t>
  </si>
  <si>
    <r>
      <rPr>
        <sz val="12"/>
        <color rgb="FFFF0000"/>
        <rFont val="Calibri"/>
        <family val="2"/>
      </rPr>
      <t xml:space="preserve"> • La variété Sihanaka est cultivée surtout dans les régions à climat humide comme la côte Est.
 • Très appréciée pour sa saveur douce et sa bonne conservation.
 • Source importante de revenu pour les petits producteurs.
 • Utilisée à la fois pour consommation familiale et vente locale.</t>
    </r>
    <r>
      <rPr>
        <sz val="12"/>
        <color theme="1"/>
        <rFont val="Calibri"/>
        <family val="2"/>
      </rPr>
      <t xml:space="preserve">
</t>
    </r>
  </si>
  <si>
    <r>
      <t xml:space="preserve">Patate douce
</t>
    </r>
    <r>
      <rPr>
        <sz val="12"/>
        <color rgb="FFFF0000"/>
        <rFont val="Calibri"/>
        <family val="2"/>
      </rPr>
      <t>Patate douce Menahatoke
Vomanga
Vomanga Menahatoke</t>
    </r>
  </si>
  <si>
    <t>La variété Menahatoke est une variété locale malgache, originaire des hautes terres centrales. Elle est caractérisée par sa chair blanche à jaune pâle, avec un goût doux et une bonne texture. Elle est très appréciée pour sa capacité à bien conserver après récolte, ce qui en fait une source alimentaire fiable. Elle est souvent cultivée en rotation avec d’autres cultures vivrières.</t>
  </si>
  <si>
    <t xml:space="preserve"> • Cultivable entre 800 et 1 600 mètres d’altitude.
 • Adaptée aux régions de hautes terres tempérées de Madagascar.
</t>
  </si>
  <si>
    <t xml:space="preserve">• Sols riches en matière organique, bien drainés, légèrement acides à neutres (pH 5,5 à 7).
 • Préférence pour sols limoneux à argileux légers.
 • Sensible à la saturation en eau.
</t>
  </si>
  <si>
    <t xml:space="preserve"> • Température optimale : 18 à 28 °C.
 • Supporte bien les températures tempérées des hautes terres.
</t>
  </si>
  <si>
    <t xml:space="preserve"> • Besoin moyen en eau : 1 000 à 1 300 mm/an.
 • Tolère des périodes de sécheresse courte, mais préfère humidité régulière.
</t>
  </si>
  <si>
    <t xml:space="preserve"> • Climat tempéré des hautes terres, avec saisons pluvieuses et sèches distinctes.
 • Résiste aux variations modérées de température.
</t>
  </si>
  <si>
    <t xml:space="preserve"> • Espacement recommandé : 70 cm entre rangs, 30 cm entre plants.
 • Densité : environ 45 000 plants/ha.
</t>
  </si>
  <si>
    <t xml:space="preserve">• Fumier bien décomposé ou compost, environ 12 à 18 tonnes/ha.
 • Apport au moment de la préparation du sol.
</t>
  </si>
  <si>
    <r>
      <rPr>
        <sz val="12"/>
        <color rgb="FFFF0000"/>
        <rFont val="Calibri"/>
        <family val="2"/>
      </rPr>
      <t xml:space="preserve"> • La variété Menahatoke est largement cultivée dans les hautes terres centrales.
 • Sa bonne conservation en fait une source de sécurité alimentaire locale.
 • Appréciée pour ses rendements et son adaptation aux conditions climatiques tempérées.
 • Utilisée tant pour la consommation familiale que pour la commercialisation.</t>
    </r>
    <r>
      <rPr>
        <sz val="12"/>
        <color theme="1"/>
        <rFont val="Calibri"/>
        <family val="2"/>
      </rPr>
      <t xml:space="preserve">
</t>
    </r>
  </si>
  <si>
    <t>Patate douce Bakoly
Vomanga Bakoly</t>
  </si>
  <si>
    <t xml:space="preserve">La variété Bakoly est le fruit de recherches variétales nationales pour améliorer la production de patate douce en milieux intermédiaires. Elle est caractérisée par une peau rouge clair à rosée, une chair blanche crème, une bonne aptitude à la cuisson (tendre, légèrement farineuse), et une saveur sucrée modérée.
Elle est appréciée pour sa bonne résistance à la sécheresse modérée, sa tolérance aux maladies du sol et sa bonne conservation post-récolte
</t>
  </si>
  <si>
    <t xml:space="preserve">Altitude optimale : 400 à 1 200 m
Elle est adaptée aux Hauts Plateaux mais peut aussi pousser jusqu’à 1 500 m.
</t>
  </si>
  <si>
    <r>
      <rPr>
        <sz val="12"/>
        <color rgb="FFFF0000"/>
        <rFont val="Calibri"/>
        <family val="2"/>
      </rPr>
      <t xml:space="preserve"> • Sol sablo-limoneux ou sableux bien drainé
 • Profondeur minimum : 25 à 30 cm
 • pH idéal : 5,5 à 6,5
 • Sensible à l’engorgement (risque de pourriture des tubercules)</t>
    </r>
    <r>
      <rPr>
        <sz val="12"/>
        <color rgb="FF000000"/>
        <rFont val="Calibri"/>
        <family val="2"/>
      </rPr>
      <t xml:space="preserve">
</t>
    </r>
  </si>
  <si>
    <t>• Température optimale entre 21 et 29 °C
*Ne tolère pas les températures inférieures à 12 °C</t>
  </si>
  <si>
    <t>• Pluviométrie idéale : 800 à 1 200 mm/an
 • Une sécheresse en fin de cycle favorise la concentration des sucres, mais ne doit pas être prolongée</t>
  </si>
  <si>
    <t xml:space="preserve">Climat tropical subhumide à tropical humide, avec saison des pluies bien marquée.
Tolère une certaine sécheresse, mais redoute les sols gorgés d’eau ou froids.
</t>
  </si>
  <si>
    <t xml:space="preserve">• Espacement recommandé : 80 cm entre rangs, 30 à 40 cm entre plants.
 • Densité moyenne : 35000 plants/ha.
* Il est important de bien enfoncer les boutures pour assurer une bonne reprise
</t>
  </si>
  <si>
    <t xml:space="preserve">La variété Bakoly est promue dans plusieurs régions de production vivrière (Hauts Plateaux, Itasy, Bongolava, Vakinankaratra), pour son bon rendement, sa conservation facile, et sa valeur nutritionnelle (source de glucides complexes).
Elle est également utilisée dans des projets de sécurité alimentaire rurale, notamment dans les zones enclavées où les autres cultures vivrières (riz ou manioc) sont plus vulnérables.
</t>
  </si>
  <si>
    <r>
      <rPr>
        <sz val="12"/>
        <color rgb="FFFF0000"/>
        <rFont val="Calibri"/>
        <family val="2"/>
      </rPr>
      <t>Variété sélectionnée localement pour sa bonne adaptation aux zones à climat tropical. Cultivée depuis plusieurs décennies dans les hauts plateaux et régions chaudes.</t>
    </r>
    <r>
      <rPr>
        <sz val="12"/>
        <color theme="1"/>
        <rFont val="Calibri"/>
        <family val="2"/>
      </rPr>
      <t xml:space="preserve">
Année d'obtention : 1979; Année de diffusion : 1990 ; originaire de Madagascar et Afrique du sud ;Nature génétique : composite amélioré, </t>
    </r>
    <r>
      <rPr>
        <sz val="12"/>
        <color rgb="FFFF0000"/>
        <rFont val="Calibri"/>
        <family val="2"/>
      </rPr>
      <t>mainteneur : FOFIFA</t>
    </r>
    <r>
      <rPr>
        <sz val="12"/>
        <color theme="1"/>
        <rFont val="Calibri"/>
        <family val="2"/>
      </rPr>
      <t xml:space="preserve">
</t>
    </r>
    <r>
      <rPr>
        <sz val="12"/>
        <color rgb="FFFF0000"/>
        <rFont val="Calibri"/>
        <family val="2"/>
      </rPr>
      <t xml:space="preserve">mode d'obtention: synthétique constitué à partir de 5 lignées jaunes d’Afrique du sud et d’une lignée jaune locale du Lac Alaotra </t>
    </r>
  </si>
  <si>
    <r>
      <rPr>
        <sz val="12"/>
        <rFont val="Calibri"/>
        <family val="2"/>
      </rPr>
      <t>Année d'obtention : 1985</t>
    </r>
    <r>
      <rPr>
        <sz val="12"/>
        <color theme="1"/>
        <rFont val="Calibri"/>
        <family val="2"/>
      </rPr>
      <t xml:space="preserve">
Origine : Philippines ;</t>
    </r>
    <r>
      <rPr>
        <sz val="12"/>
        <color rgb="FFFF0000"/>
        <rFont val="Calibri"/>
        <family val="2"/>
      </rPr>
      <t>Nature génétique : composite amélioré</t>
    </r>
    <r>
      <rPr>
        <sz val="12"/>
        <color theme="1"/>
        <rFont val="Calibri"/>
        <family val="2"/>
      </rPr>
      <t xml:space="preserve">, mainteneur : FOFIFA; </t>
    </r>
    <r>
      <rPr>
        <sz val="12"/>
        <color theme="9" tint="-0.249977111117893"/>
        <rFont val="Calibri"/>
        <family val="2"/>
      </rPr>
      <t xml:space="preserve">
</t>
    </r>
    <r>
      <rPr>
        <sz val="12"/>
        <color rgb="FFFF0000"/>
        <rFont val="Calibri"/>
        <family val="2"/>
      </rPr>
      <t>mode d'obtention : sélection récurrente dans la population 27 du CIMMYT (Amarillo cristalino 1) ayant pour composante Tuspeno, Cuba flint, ETO amarillo et 15 familles du pool 27
Variétés améliorées ou locales, sélectionnées pour leur cycle court et leur bonne productivité, adaptées aux conditions paysannes</t>
    </r>
  </si>
  <si>
    <r>
      <t xml:space="preserve"> Année d'obtention : 1986 ; </t>
    </r>
    <r>
      <rPr>
        <sz val="12"/>
        <color rgb="FFFF0000"/>
        <rFont val="Calibri"/>
        <family val="2"/>
      </rPr>
      <t>Année de diffusion: 1995</t>
    </r>
    <r>
      <rPr>
        <sz val="12"/>
        <color theme="1"/>
        <rFont val="Calibri"/>
        <family val="2"/>
      </rPr>
      <t xml:space="preserve">, Origine : Thailande ;mainteneur : FOFIFA; </t>
    </r>
    <r>
      <rPr>
        <sz val="12"/>
        <color rgb="FFFF0000"/>
        <rFont val="Calibri"/>
        <family val="2"/>
      </rPr>
      <t>Nature génétique : composite amélioré</t>
    </r>
    <r>
      <rPr>
        <sz val="12"/>
        <color theme="1"/>
        <rFont val="Calibri"/>
        <family val="2"/>
      </rPr>
      <t xml:space="preserve">
mode d'obtention : sélection récurrente dans la population du CIMMYT Amarillo Cristallino 2 composée de 96 familles du « Compuesto preuz C8, croisement de matériel tropical et tempéré et 4
familles du Pool 17 C6;</t>
    </r>
    <r>
      <rPr>
        <sz val="12"/>
        <color theme="9" tint="-0.249977111117893"/>
        <rFont val="Calibri"/>
        <family val="2"/>
      </rPr>
      <t xml:space="preserve"> apparence à l'extérieur : épi compact, grains jaunes tirant sur l’orange
</t>
    </r>
    <r>
      <rPr>
        <sz val="12"/>
        <color rgb="FFFF0000"/>
        <rFont val="Calibri"/>
        <family val="2"/>
      </rPr>
      <t>Variétés améliorées ou locales, sélectionnées pour leur cycle court et leur bonne productivité, adaptées aux conditions paysannes</t>
    </r>
  </si>
  <si>
    <r>
      <t xml:space="preserve">Mailaka est une variété composite originaire du sud-est de Madagascar, introduite dans la région du Lac Alaotra en 2008 par le SDMAD.
</t>
    </r>
    <r>
      <rPr>
        <sz val="12"/>
        <color rgb="FFFF0000"/>
        <rFont val="Calibri"/>
        <family val="2"/>
      </rPr>
      <t>Variétés améliorées ou locales, sélectionnées pour leur cycle court et leur bonne productivité, adaptées aux conditions paysannes.</t>
    </r>
  </si>
  <si>
    <t>La variété de sorgho « Rasta » est une sélection locale développée par le Centre Technique Agroécologique du Sud (CTAS) pour répondre aux conditions climatiques difficiles du sud de Madagascar, notamment dans les régions d’Androy et d’Atsimo-Andrefana.
Sorgho à barbe, grains blancs
Résistante au vent et à la sécheresse
Moins attaquée par les oiseaux
Elle est souvent utilisées aussi pour l’alimentation animale ou la transformation.</t>
  </si>
  <si>
    <r>
      <t xml:space="preserve">La variété de sorgho « Botra » est une sélection locale développée à Madagascar, notamment par le Centre Technique Agroécologique du Sud (CTAS), pour répondre aux conditions climatiques difficiles du sud du pays.
</t>
    </r>
    <r>
      <rPr>
        <sz val="12"/>
        <color rgb="FFFF0000"/>
        <rFont val="Calibri"/>
        <family val="2"/>
      </rPr>
      <t>Sorgho blanc
Résistante au vent et à la sècheresse</t>
    </r>
    <r>
      <rPr>
        <sz val="12"/>
        <color theme="1"/>
        <rFont val="Calibri"/>
        <family val="2"/>
      </rPr>
      <t xml:space="preserve">
</t>
    </r>
    <r>
      <rPr>
        <sz val="12"/>
        <color rgb="FFFF0000"/>
        <rFont val="Calibri"/>
        <family val="2"/>
      </rPr>
      <t xml:space="preserve"> Adaptée aux sols à faible fertilité
</t>
    </r>
    <r>
      <rPr>
        <sz val="12"/>
        <color theme="1"/>
        <rFont val="Calibri"/>
        <family val="2"/>
      </rPr>
      <t xml:space="preserve">Origine : Madagascar; La variété Botra se distingue à
première vue par sa couleur très
blanche, d’une forme arrondie et
d’une texture cornée; obtenteur : CTAS 
</t>
    </r>
    <r>
      <rPr>
        <sz val="12"/>
        <color rgb="FFFF0000"/>
        <rFont val="Calibri"/>
        <family val="2"/>
      </rPr>
      <t>Elle est souvent utilisées aussi pour l’alimentation animale ou la transformation.</t>
    </r>
  </si>
  <si>
    <r>
      <t xml:space="preserve">La carotte Chantenay est une plante de la famille des Apiacées, originaire de Chantenay en Bretagne. C'est la carotte la plus ancienne. Elle présente des racines fines orangées et coniques de 12 à 18cm de long. Le feuillage est également évasé constitué de feuilles vertes et découpées similaires à toutes les variétés de carottes. Elle est appréciée par sa chair tendre et sucrée.
</t>
    </r>
    <r>
      <rPr>
        <sz val="12"/>
        <color rgb="FFFF0000"/>
        <rFont val="Calibri"/>
        <family val="2"/>
      </rPr>
      <t xml:space="preserve"> Variété introduite pour les marchés urbains.</t>
    </r>
  </si>
  <si>
    <r>
      <t xml:space="preserve">C'est une plante herbacée à tige cylindrique et rigide, pouvant atteindre 30 à 40cm de hauteur. Ses feuilles longues, fines et plates, de couleur verte, sont disposées en alternance le long de la tige et sont parfois ondulées sur le bords. La partie comestible de la plante est vert pâle tendre et charnue. Le poireau possède un système racinaire fasciculé et produit une inflorescence en ombelle. 
</t>
    </r>
    <r>
      <rPr>
        <sz val="12"/>
        <color rgb="FFFF0000"/>
        <rFont val="Calibri"/>
        <family val="2"/>
      </rPr>
      <t>Plantes introduites par les colons et maintenant bien intégrées aux cultures maraîchères traditionnelles, surtout dans les hautes terres.</t>
    </r>
    <r>
      <rPr>
        <sz val="12"/>
        <color theme="1"/>
        <rFont val="Calibri"/>
        <family val="2"/>
      </rPr>
      <t xml:space="preserve">
</t>
    </r>
  </si>
  <si>
    <r>
      <t xml:space="preserve">L'ail (Allium Sativum) est une plante de la famille des Amaryllidacées, originaire d'Asie Centrale. La plante possède une courte et rigite tige de 30cm de hauteur qui soutient la plante. Ses feuilles sont longues, étroites, creuses et linéaires, mésurant entre 20 à 40cm de longueur , formant une rosette autour du bulbe. Le bulbe est constitué de plusieurs gousses recouvertes d'une peau fine atteignant une diamètre de 5 à 7cm et un poids d'environ 30 à 50 grammes par bulbe.
</t>
    </r>
    <r>
      <rPr>
        <sz val="12"/>
        <color rgb="FFFF0000"/>
        <rFont val="Calibri"/>
        <family val="2"/>
      </rPr>
      <t>Plantes introduites par les colons et maintenant bien intégrées aux cultures maraîchères traditionnelles, surtout dans les hautes terres</t>
    </r>
    <r>
      <rPr>
        <sz val="12"/>
        <color theme="1"/>
        <rFont val="Calibri"/>
        <family val="2"/>
      </rPr>
      <t>.</t>
    </r>
  </si>
  <si>
    <r>
      <t xml:space="preserve">C'est une plante herbacée de la famille de Amaryllidacées, originaire d'Asie. Elle se distingue par ses tiges longues, fines et vertes qui forment un petit faisceau.Elle peut atteindre 20 à 30cm de hauteur. C'est une plante appréciée par son goût plus doux et légèrement piquante, idéal pour assaisonner les plats. Elle est riche en vitamine C, en antioxydants et en minéraux comme le potassium.
</t>
    </r>
    <r>
      <rPr>
        <sz val="12"/>
        <color rgb="FFFF0000"/>
        <rFont val="Calibri"/>
        <family val="2"/>
      </rPr>
      <t>Plantes introduites par les colons et maintenant bien intégrées aux cultures maraîchères traditionnelles, surtout dans les hautes terres</t>
    </r>
  </si>
  <si>
    <t>Elle se développe bien dans des altitudes allant de 0 à 1800 mètres</t>
  </si>
  <si>
    <t>Elle se développe bien dans des altitudes allant de 0 à 1500 mètres</t>
  </si>
  <si>
    <r>
      <rPr>
        <sz val="12"/>
        <color rgb="FFFF0000"/>
        <rFont val="Calibri"/>
        <family val="2"/>
      </rPr>
      <t>Elle se développe bien dans des altitudes allant de</t>
    </r>
    <r>
      <rPr>
        <sz val="12"/>
        <color theme="1"/>
        <rFont val="Calibri"/>
        <family val="2"/>
      </rPr>
      <t xml:space="preserve"> 500 à 1 000 m 
</t>
    </r>
    <r>
      <rPr>
        <sz val="12"/>
        <color rgb="FFFF0000"/>
        <rFont val="Calibri"/>
        <family val="2"/>
      </rPr>
      <t>Le climat côtier ou sub-humide de l'Est malgache lui convient très bien.</t>
    </r>
  </si>
  <si>
    <t>Préfère les altitudes moyennes : entre 600 et 1 200 m. Se développe bien sur les plateaux humides,
On la trouve souvent dans les zones côtières ou moyennes altitudes (région Est et Nord de Madagascar).</t>
  </si>
  <si>
    <t xml:space="preserve">Elle se développe bien dans des altitudes allant de de 0 à 1 000 m d’altitude.
 Meilleurs rendements entre 0 et 600 m.
</t>
  </si>
  <si>
    <r>
      <rPr>
        <sz val="12"/>
        <color rgb="FFFF0000"/>
        <rFont val="Calibri"/>
        <family val="2"/>
      </rPr>
      <t xml:space="preserve"> Elle se dé veloppe bien dans des altitudes allant de 0 à 800 m.
 • Performances optimales en basse altitude.</t>
    </r>
    <r>
      <rPr>
        <sz val="12"/>
        <color rgb="FF000000"/>
        <rFont val="Calibri"/>
        <family val="2"/>
      </rPr>
      <t xml:space="preserve">
</t>
    </r>
  </si>
  <si>
    <r>
      <rPr>
        <sz val="12"/>
        <color rgb="FFFF0000"/>
        <rFont val="Calibri"/>
        <family val="2"/>
      </rPr>
      <t>Préfère les</t>
    </r>
    <r>
      <rPr>
        <sz val="12"/>
        <color rgb="FF000000"/>
        <rFont val="Calibri"/>
        <family val="2"/>
      </rPr>
      <t xml:space="preserve"> sols riche en matière organique, léger, bien drainé.
</t>
    </r>
    <r>
      <rPr>
        <sz val="12"/>
        <color rgb="FFFF0000"/>
        <rFont val="Calibri"/>
        <family val="2"/>
      </rPr>
      <t xml:space="preserve">pH idéal entre 5,5 et 6,5.
 Ne supporte pas les sols trop argileux ou gorgés d’eau.
</t>
    </r>
  </si>
  <si>
    <r>
      <rPr>
        <sz val="12"/>
        <color rgb="FFFF0000"/>
        <rFont val="Calibri"/>
        <family val="2"/>
      </rPr>
      <t>Préfère les</t>
    </r>
    <r>
      <rPr>
        <sz val="12"/>
        <color theme="1"/>
        <rFont val="Calibri"/>
        <family val="2"/>
      </rPr>
      <t xml:space="preserve"> sols riches, bien structurés, ni trop sableux ni trop compacts, ass urant une bonne aération et un drainage efficace.</t>
    </r>
  </si>
  <si>
    <t xml:space="preserve">Le sorgho peut donner des rendements satisfaisants même sur des sols réputés pauvres.
On peut donc le cultiver sur tout type de sols. Toutefois,Toutefois il n’aime pas les sols froids et gorgés d’eau.
</t>
  </si>
  <si>
    <r>
      <rPr>
        <sz val="12"/>
        <color rgb="FFFF0000"/>
        <rFont val="Calibri"/>
        <family val="2"/>
      </rPr>
      <t xml:space="preserve">Le sorgho peut donner des rendements satisfaisants même sur des sols réputés pauvres.
On peut donc le cultiver sur tout type de sols. Toutefois,Toutefois il n’aime pas les sols froids et gorgés d’eau.
</t>
    </r>
    <r>
      <rPr>
        <sz val="12"/>
        <color rgb="FFFF0000"/>
        <rFont val="Calibri"/>
        <family val="2"/>
      </rPr>
      <t>Androy, Anôsy, (peut être cultivé aussi dans d’autres regions)</t>
    </r>
  </si>
  <si>
    <r>
      <t xml:space="preserve">Sols argileux, limoneux ou sablonneux, tant que le drainage est adéquat; le pH optimal pour la culture du sorgho Miaretse se situe autour de 5,5 à 7
</t>
    </r>
    <r>
      <rPr>
        <sz val="12"/>
        <color rgb="FFFF0000"/>
        <rFont val="Calibri"/>
        <family val="2"/>
      </rPr>
      <t xml:space="preserve">Androy, Anôsy
Le sorgho peut donner des rendements satisfaisants même sur des sols réputés pauvres.
On peut donc le cultiver sur tout type de sols. Toutefois il n’aime pas les sols froids et gorgés d’eau.
</t>
    </r>
  </si>
  <si>
    <t xml:space="preserve">
Le sorgho peut donner des rendements satisfaisants même sur des sols réputés pauvres.
On peut donc le cultiver sur tout type de sols. Toutefois,Toutefois il n’aime pas les sols froids et gorgés d’eau.
</t>
  </si>
  <si>
    <t>Préfère les altitudes moyennes entre 500 et 800 m</t>
  </si>
  <si>
    <r>
      <rPr>
        <sz val="12"/>
        <color rgb="FFFF0000"/>
        <rFont val="Calibri"/>
        <family val="2"/>
      </rPr>
      <t>Préfère les altitudes inférieures à</t>
    </r>
    <r>
      <rPr>
        <sz val="12"/>
        <color theme="1"/>
        <rFont val="Calibri"/>
        <family val="2"/>
      </rPr>
      <t xml:space="preserve"> 800 m</t>
    </r>
  </si>
  <si>
    <t>Préfère les altitudes inférieures à 500 m</t>
  </si>
  <si>
    <t>Préfère les altitudes inférieures à 1000m</t>
  </si>
  <si>
    <t>Préfère les altitude smoyennes entre 400 et 1 500 m</t>
  </si>
  <si>
    <t xml:space="preserve">Principalement dans les régions sèches et semi-arides de Madagascar: partie sud: Androy, Anôsy
</t>
  </si>
  <si>
    <t>Sorgho IRAT 204
Apemba IRAT 204</t>
  </si>
  <si>
    <t>Maïs IRAT 200
Katsaka IRAT 200</t>
  </si>
  <si>
    <t>Maïs Volasoa
Katsaka Volasoa</t>
  </si>
  <si>
    <t>Maïs Bakoly
Katsaka Bakoly</t>
  </si>
  <si>
    <t>Maïs Mailaka
Katsaka Mailaka</t>
  </si>
  <si>
    <t>Sorgho Rastà
Apemba Rastà</t>
  </si>
  <si>
    <t xml:space="preserve">Miaretse </t>
  </si>
  <si>
    <t>Botra</t>
  </si>
  <si>
    <t>Sorgho Miaretse
Apemba Miaretse</t>
  </si>
  <si>
    <t>Sorgho Botra
Apemba Botra</t>
  </si>
  <si>
    <t>Chou
Laisoa</t>
  </si>
  <si>
    <t>Carotte Nantaise 
Karôty  Botry</t>
  </si>
  <si>
    <t>Carotte Chantenay
Karôty Lava</t>
  </si>
  <si>
    <t>Oignon rouge de Tanà
Tongolo mena  Tanà</t>
  </si>
  <si>
    <t>Oignon rouge de Tamatave
Tongolo mena de Tamatave</t>
  </si>
  <si>
    <t>Mangetout
Haricot Mangetout</t>
  </si>
  <si>
    <t>Pois du cap
Kabaro</t>
  </si>
  <si>
    <t>Ail
Tongolo gasy</t>
  </si>
  <si>
    <t>Ciboulette
Tongolo maitso</t>
  </si>
  <si>
    <t>Coriandre
Kotomila</t>
  </si>
  <si>
    <t>Riz Makalioka
Vary Makalioka</t>
  </si>
  <si>
    <t>Riz Tsipala
Vary Tsipala</t>
  </si>
  <si>
    <t>Riz Dista
Vary Dista</t>
  </si>
  <si>
    <t>Vary an-tanety  Fofifa 172</t>
  </si>
  <si>
    <t>Riz Fofifa 172
Riz Pluvial Fofifa 172
Vary an-tanety  Fofifa 172
Vary Fofifa 172</t>
  </si>
  <si>
    <t>Chou de chine
Brède Ramirebaka
Anana Ramirebaka</t>
  </si>
  <si>
    <t>Cresson
 Anandrano</t>
  </si>
  <si>
    <t>Brède Morelle
Anamamy</t>
  </si>
  <si>
    <t>Gingembre
Sakamalaho</t>
  </si>
  <si>
    <t>Curcuma
Tamotamo</t>
  </si>
  <si>
    <t>Aubergine
Baranjely</t>
  </si>
  <si>
    <t>Banane batavia
Akondro Batavia</t>
  </si>
  <si>
    <t xml:space="preserve">Banane Gros Michel
Banane Malavonjo
Akondro Malavonjo  </t>
  </si>
  <si>
    <t xml:space="preserve">Banane Lacatan
Akondro Mena </t>
  </si>
  <si>
    <t>Banane Poyo
Akondro Poyo</t>
  </si>
  <si>
    <t>Banane naine
Akondro kely</t>
  </si>
  <si>
    <t>Banane ranjali
Akondro Ranjali</t>
  </si>
  <si>
    <r>
      <rPr>
        <sz val="12"/>
        <color rgb="FFFF0000"/>
        <rFont val="Calibri"/>
        <family val="2"/>
      </rPr>
      <t xml:space="preserve">Papaye Sunrise, Papaye Sunrise Solo, Papaye </t>
    </r>
    <r>
      <rPr>
        <sz val="12"/>
        <color rgb="FF000000"/>
        <rFont val="Calibri"/>
        <family val="2"/>
      </rPr>
      <t>Solo mena</t>
    </r>
  </si>
  <si>
    <t>Papaye Solo sunset, Papaye Solo maitso mena</t>
  </si>
  <si>
    <t>Nom_Scientifique_ou_Espece</t>
  </si>
  <si>
    <t>Variete</t>
  </si>
  <si>
    <t>Exigence_en_altitude</t>
  </si>
  <si>
    <t>Exigence_en_sol</t>
  </si>
  <si>
    <t>Exigence_en _temperature</t>
  </si>
  <si>
    <t>Exigence_en_climat</t>
  </si>
  <si>
    <t>Periode_de_semis</t>
  </si>
  <si>
    <t>Densite_de_plantation</t>
  </si>
  <si>
    <t>Type_et_quantite_ de_semence</t>
  </si>
  <si>
    <t>Type_de_semence</t>
  </si>
  <si>
    <t>Quantie_de_semence_minimum_en_kg_par_ha</t>
  </si>
  <si>
    <t>Quantie_de_semence_maximum_en_kg_par_ha</t>
  </si>
  <si>
    <t>Recolte</t>
  </si>
  <si>
    <t>Rendement_minimum_en_Tonne_par_ha</t>
  </si>
  <si>
    <t>Rendement_maximum_en_Tonne_par_ha</t>
  </si>
  <si>
    <t>Preparation_du_terrain</t>
  </si>
  <si>
    <t>Prix_EO _Fumier_en_ariary_par_T</t>
  </si>
  <si>
    <t>Quantité_EO _en_Tonnes</t>
  </si>
  <si>
    <t>Quantité_Autres_types_de_fertilisation_organique_Compost</t>
  </si>
  <si>
    <t>Prix_autres_types_de_fertilisation_organique_par_T</t>
  </si>
  <si>
    <t xml:space="preserve">Prix_total_fertilisation_organique </t>
  </si>
  <si>
    <t>Quantite_Dolomie_en_Kg</t>
  </si>
  <si>
    <t>Prix_Dolomie_par_Kg</t>
  </si>
  <si>
    <t>Prix_NPIK_par_Kg</t>
  </si>
  <si>
    <t>Prix_Uree_par_Kg</t>
  </si>
  <si>
    <t xml:space="preserve">Prix_total_fertilisation_mineral </t>
  </si>
  <si>
    <t>Maladies_et_traitements</t>
  </si>
  <si>
    <t>Ravageurs_et_traitements</t>
  </si>
  <si>
    <t>TOTAL_Preparation_pepiniere</t>
  </si>
  <si>
    <t>TOTAL_Preparation_terrain</t>
  </si>
  <si>
    <t>TOTAL_Main_d_œuvre</t>
  </si>
  <si>
    <t>TOTAL _Intrants _agricoles</t>
  </si>
  <si>
    <t>Prix_de_vente_Prix_du_kilo</t>
  </si>
  <si>
    <t>TOTAL_VENTE_MIN</t>
  </si>
  <si>
    <t>TOTAL_VENTE_MAX</t>
  </si>
  <si>
    <t>Benefice_MIN</t>
  </si>
  <si>
    <t>Benefice_MAX</t>
  </si>
  <si>
    <t>Hypotheses</t>
  </si>
  <si>
    <t>Nom_Vernaculaire</t>
  </si>
  <si>
    <t>Affichage_sur_le_site</t>
  </si>
  <si>
    <t>Description_historique</t>
  </si>
  <si>
    <t>Exigence_en_pluviometrie_Besoins_hydriques</t>
  </si>
  <si>
    <t>Annuelle_ou_Perennes</t>
  </si>
  <si>
    <t>Solanum</t>
  </si>
  <si>
    <t>Pôta</t>
  </si>
  <si>
    <t>Kinga</t>
  </si>
  <si>
    <t>Atzimba</t>
  </si>
  <si>
    <t>Lava</t>
  </si>
  <si>
    <t>Miova</t>
  </si>
  <si>
    <t>Spunta</t>
  </si>
  <si>
    <t>Vigna</t>
  </si>
  <si>
    <t>Vigna unguiculata</t>
  </si>
  <si>
    <t>Annuelle A</t>
  </si>
  <si>
    <t xml:space="preserve">Résiste à plusieurs types de température </t>
  </si>
  <si>
    <t>Syzygium</t>
  </si>
  <si>
    <t>Syzygium aromaticum</t>
  </si>
  <si>
    <t>Pérenne P</t>
  </si>
  <si>
    <t xml:space="preserve">Climat tropical chaud et humide </t>
  </si>
  <si>
    <t>Bouture préparés dans la pépinière : les plants de girofle qui ont développé 5 feuilles complètes doivent être repiqués dans des pots, et y rester pendant 12 à 15 mois en pépinière d’attente.</t>
  </si>
  <si>
    <t xml:space="preserve">Vanilla </t>
  </si>
  <si>
    <t>Vanille</t>
  </si>
  <si>
    <t>20 à 30°C</t>
  </si>
  <si>
    <t>Pisum</t>
  </si>
  <si>
    <t>Cucumis</t>
  </si>
  <si>
    <t>Cucumis sativus</t>
  </si>
  <si>
    <t xml:space="preserve">15 - 29°C </t>
  </si>
  <si>
    <t>Cucurbita</t>
  </si>
  <si>
    <t>Capsicum</t>
  </si>
  <si>
    <t>graine</t>
  </si>
  <si>
    <t>Ananas</t>
  </si>
  <si>
    <t>Ananas comosus</t>
  </si>
  <si>
    <t>Queen</t>
  </si>
  <si>
    <t>Pérenne</t>
  </si>
  <si>
    <t>Cayenne lisse</t>
  </si>
  <si>
    <t>Annona</t>
  </si>
  <si>
    <t>Corossol</t>
  </si>
  <si>
    <t>Sol bien drainé, riche en matière organique, de texture limono-sableuse à argilo-sableuse et  pH 5,5 - 7</t>
  </si>
  <si>
    <t>400 - 625 plants/ha (espacement recommandé: 4m x 4m  à 5m x 5m)</t>
  </si>
  <si>
    <t>Citrus</t>
  </si>
  <si>
    <t>Vangasay</t>
  </si>
  <si>
    <t>Utilisation de plants greffés pour assurer la qualité et la résistance aux maladies, le porte-greffe: espacement recommandé de 8m x 5m, soit environ 1 560 m2 par arbre.</t>
  </si>
  <si>
    <t>Theobroma</t>
  </si>
  <si>
    <t>Trinitario</t>
  </si>
  <si>
    <t xml:space="preserve">Cacao </t>
  </si>
  <si>
    <t>Perenne P</t>
  </si>
  <si>
    <t>Cinnamomum</t>
  </si>
  <si>
    <t>Ravintsara</t>
  </si>
  <si>
    <t xml:space="preserve">Coffea </t>
  </si>
  <si>
    <t>Coffea arabica</t>
  </si>
  <si>
    <t>Manihot</t>
  </si>
  <si>
    <t xml:space="preserve"> Schinus</t>
  </si>
  <si>
    <t xml:space="preserve"> </t>
  </si>
  <si>
    <t>Thymus</t>
  </si>
  <si>
    <t>Thymus vulgaris</t>
  </si>
  <si>
    <t xml:space="preserve"> Thym commun</t>
  </si>
  <si>
    <t>Semez en mars à l'intérieur ou en mai à l'extérieur en
pépinière,</t>
  </si>
  <si>
    <t>Fragaria</t>
  </si>
  <si>
    <t xml:space="preserve">Fraise </t>
  </si>
  <si>
    <t>Pennisetum</t>
  </si>
  <si>
    <t>0 à 1500 m</t>
  </si>
  <si>
    <t>Produise mieux sur sols légers, bien drainés, suffisamment fertiles et à pH faible ; mais peut pousser aussi sur différents types de sol (limoneux, sablonneux ou lourd) et à faible niveau de fertilité.</t>
  </si>
  <si>
    <t>Semis dès les premières pluies au mois d’octobre-novembre en zone cristalline et au mois de novembre-décembre en zone sédimentaire</t>
  </si>
  <si>
    <t>Glycine</t>
  </si>
  <si>
    <t xml:space="preserve">Soja </t>
  </si>
  <si>
    <t>Cymbopogon</t>
  </si>
  <si>
    <t>Cymbopogon nardus ou Cymbopogon citratus</t>
  </si>
  <si>
    <t>Saccharum</t>
  </si>
  <si>
    <t>Saccharum officinarum</t>
  </si>
  <si>
    <t>Début de la saison des pluies pour une récolte à 12 mois (petite culture); fin de la saison des pluies pour une récolte à 16–18 mois (grande culture)</t>
  </si>
  <si>
    <t>Piper</t>
  </si>
  <si>
    <r>
      <rPr>
        <sz val="12"/>
        <color rgb="FFFF0000"/>
        <rFont val="Calibri"/>
        <family val="2"/>
      </rPr>
      <t>Solanum</t>
    </r>
    <r>
      <rPr>
        <sz val="12"/>
        <color rgb="FF000000"/>
        <rFont val="Calibri"/>
        <family val="2"/>
      </rPr>
      <t xml:space="preserve"> tuberosum</t>
    </r>
  </si>
  <si>
    <r>
      <rPr>
        <sz val="12"/>
        <color rgb="FFFF0000"/>
        <rFont val="Calibri"/>
        <family val="2"/>
      </rPr>
      <t>Papaye Solo</t>
    </r>
    <r>
      <rPr>
        <sz val="12"/>
        <color rgb="FF000000"/>
        <rFont val="Calibri"/>
        <family val="2"/>
      </rPr>
      <t xml:space="preserve">
</t>
    </r>
    <r>
      <rPr>
        <sz val="12"/>
        <color rgb="FFFF0000"/>
        <rFont val="Calibri"/>
        <family val="2"/>
      </rPr>
      <t>Papaye</t>
    </r>
    <r>
      <rPr>
        <sz val="12"/>
        <color rgb="FF000000"/>
        <rFont val="Calibri"/>
        <family val="2"/>
      </rPr>
      <t xml:space="preserve"> Solo Waimanalo</t>
    </r>
  </si>
  <si>
    <r>
      <rPr>
        <sz val="12"/>
        <color rgb="FFFF0000"/>
        <rFont val="Calibri"/>
        <family val="2"/>
      </rPr>
      <t>Pomme de terre
Ovy
Pomme de terre Pôta
Ovy</t>
    </r>
    <r>
      <rPr>
        <sz val="12"/>
        <color rgb="FF000000"/>
        <rFont val="Calibri"/>
        <family val="2"/>
      </rPr>
      <t xml:space="preserve"> Pôta</t>
    </r>
  </si>
  <si>
    <t>Pomme de terre Pôta
Ovy Pôta</t>
  </si>
  <si>
    <r>
      <rPr>
        <sz val="12"/>
        <color rgb="FFFF0000"/>
        <rFont val="Calibri"/>
        <family val="2"/>
      </rPr>
      <t>Pomme de terre
Ovy
Pomme de terre Kinga
Ovy</t>
    </r>
    <r>
      <rPr>
        <sz val="12"/>
        <color rgb="FF000000"/>
        <rFont val="Calibri"/>
        <family val="2"/>
      </rPr>
      <t xml:space="preserve"> Kinga</t>
    </r>
  </si>
  <si>
    <r>
      <rPr>
        <sz val="12"/>
        <color rgb="FFFF0000"/>
        <rFont val="Calibri"/>
        <family val="2"/>
      </rPr>
      <t>Pomme de terre
Ovy
Pomme de terre Atzimba
Ovy</t>
    </r>
    <r>
      <rPr>
        <sz val="12"/>
        <color rgb="FF000000"/>
        <rFont val="Calibri"/>
        <family val="2"/>
      </rPr>
      <t xml:space="preserve"> Atzimba</t>
    </r>
  </si>
  <si>
    <r>
      <rPr>
        <sz val="12"/>
        <color rgb="FFFF0000"/>
        <rFont val="Calibri"/>
        <family val="2"/>
      </rPr>
      <t xml:space="preserve">Pomme de terre
Ovy
Pomme de terre Lava
Ovy </t>
    </r>
    <r>
      <rPr>
        <sz val="12"/>
        <color rgb="FF000000"/>
        <rFont val="Calibri"/>
        <family val="2"/>
      </rPr>
      <t>Lava</t>
    </r>
  </si>
  <si>
    <r>
      <rPr>
        <sz val="12"/>
        <color rgb="FFFF0000"/>
        <rFont val="Calibri"/>
        <family val="2"/>
      </rPr>
      <t>Pomme de terre
Ovy
Pomme de terre Miova
Ovy</t>
    </r>
    <r>
      <rPr>
        <sz val="12"/>
        <color rgb="FF000000"/>
        <rFont val="Calibri"/>
        <family val="2"/>
      </rPr>
      <t xml:space="preserve"> Miova</t>
    </r>
  </si>
  <si>
    <r>
      <rPr>
        <sz val="12"/>
        <color rgb="FFFF0000"/>
        <rFont val="Calibri"/>
        <family val="2"/>
      </rPr>
      <t xml:space="preserve">Pomme de terre
Ovy
Pomme de terre Spunta 
Ovy </t>
    </r>
    <r>
      <rPr>
        <sz val="12"/>
        <color rgb="FF000000"/>
        <rFont val="Calibri"/>
        <family val="2"/>
      </rPr>
      <t>Spunta</t>
    </r>
  </si>
  <si>
    <t>Pomme de terre Kinga
Ovy Kinga</t>
  </si>
  <si>
    <t>Pomme de terre Atzimba
Ovy Atzimba</t>
  </si>
  <si>
    <t>Pomme de terre Lava
Ovy Lava</t>
  </si>
  <si>
    <t>Pomme de terre Miova
Ovy Miova</t>
  </si>
  <si>
    <t>Pomme de terre Spunta 
Ovy Spunta</t>
  </si>
  <si>
    <t>Maïs
Maïs Meva
Katsaka
Katsaka Meva</t>
  </si>
  <si>
    <t>Maïs
Maïs IRAT 200
Katsaka
Katsaka IRAT 200</t>
  </si>
  <si>
    <t>Maïs
Maïs Volasoa
Katsaka
Katsaka Volasoa</t>
  </si>
  <si>
    <t>Maïs Meva
Katsaka Meva</t>
  </si>
  <si>
    <t>Maïs
Maïs Bakoly
Katsaka
Katsaka Bakoly</t>
  </si>
  <si>
    <t>Maïs
Maïs Mailaka
Katsaka
Katsaka Mailaka</t>
  </si>
  <si>
    <t>Sorgho
Sorgho IRAT 204
Apemba 
Apemba IRAT 204</t>
  </si>
  <si>
    <t>Sorgho
Sorgho Rastà
Apemba 
Apemba  Rastà</t>
  </si>
  <si>
    <t>Sorgho
Sorgho Miaretse
Apemba 
Apemba Miaretse</t>
  </si>
  <si>
    <t>Sorgho
Sorgho Botra
Apemba
Apemba Botra</t>
  </si>
  <si>
    <t>Oignon rouge
Tongolo mena
Oignon rouge de Tamatave
Tongolo mena de Tamatave</t>
  </si>
  <si>
    <r>
      <rPr>
        <sz val="12"/>
        <color rgb="FFFF0000"/>
        <rFont val="Calibri"/>
        <family val="2"/>
      </rPr>
      <t>Oignon rouge
T</t>
    </r>
    <r>
      <rPr>
        <sz val="12"/>
        <color theme="1"/>
        <rFont val="Calibri"/>
        <family val="2"/>
      </rPr>
      <t xml:space="preserve">ongolo mena
</t>
    </r>
    <r>
      <rPr>
        <sz val="12"/>
        <color rgb="FFFF0000"/>
        <rFont val="Calibri"/>
        <family val="2"/>
      </rPr>
      <t>Oignon rouge de Tanà
Tongolo mena  Tanà</t>
    </r>
  </si>
  <si>
    <t xml:space="preserve"> Aubergine
Baranjely,</t>
  </si>
  <si>
    <t xml:space="preserve">Banane
Banane Gros Michel
Banane Malavonjo
Akondro
Akondro Malavonjo  </t>
  </si>
  <si>
    <t xml:space="preserve">Banane
Banane Lacatan
Akondro
Akondro Mena </t>
  </si>
  <si>
    <t>Banane
Banane Poyo
Akondro
Akondro Poyo</t>
  </si>
  <si>
    <t>Banane
Banane naine
Akondro
Akondro kely</t>
  </si>
  <si>
    <t>Banane
Banane ranjali
Akondro
Akondro Ranjali</t>
  </si>
  <si>
    <t>Vomanga Karoty</t>
  </si>
  <si>
    <t>Patate douce Bakoly
VomangaBakoly
Batsidy mena</t>
  </si>
  <si>
    <r>
      <t xml:space="preserve">La pomme de terre a été introduite à Madagascar vers le 19ème siècle. Au-début elle a été cultivée dans la zone de Mantasoa Manjakandriana avant de s'étendre sur tous les hauts plateaux, ensuite vers les régions du Moyen Est. 
</t>
    </r>
    <r>
      <rPr>
        <sz val="12"/>
        <color rgb="FFFF0000"/>
        <rFont val="Calibri"/>
        <family val="2"/>
      </rPr>
      <t>La variété Pôta est issue d’une sélection paysanne locale, multipliée depuis plusieurs générations. Elle est bien adaptée aux Hautes Terres centrales (notamment Antsirabe, Itasy, Vakinankaratra). Elle présente des tubercules de taille moyenne, de forme ovoïde, à peau claire ou jaune pâle et chair blanche. Elle a une bonne qualité culinaire (tenue à la cuisson, goût doux) et un rendement satisfaisant.</t>
    </r>
  </si>
  <si>
    <t xml:space="preserve">La pomme de terre a été introduite à Madagascar vers le 19ème siècle. Au-début elle a été cultivée dans la zone de Mantasoa Manjakandriana avant de s'étendre sur tous les hauts plateaux, ensuite vers les régions du Moyen Est. </t>
  </si>
  <si>
    <r>
      <rPr>
        <sz val="12"/>
        <color rgb="FFFF0000"/>
        <rFont val="Calibri"/>
        <family val="2"/>
      </rPr>
      <t>E</t>
    </r>
    <r>
      <rPr>
        <sz val="12"/>
        <color rgb="FF000000"/>
        <rFont val="Calibri"/>
        <family val="2"/>
      </rPr>
      <t>viter les sols trop pauvres, de mauvaises structures, les sols qui drainent mal, éviter les terrains à forte pente (&lt;5%), éviter les terrains à précédent cultural: famille des solanacées.</t>
    </r>
  </si>
  <si>
    <t xml:space="preserve"> • Optimale : 15 à 22°C
 • Tolère les basses températures (mais pas le gel)
 • Stress thermique si &gt; 28 °C
</t>
  </si>
  <si>
    <t>Besoins modérés à élevés : 800 à 1 200 mm/an</t>
  </si>
  <si>
    <t>Climat tempéré tropical d’altitude — températures douces, humidité régulière</t>
  </si>
  <si>
    <r>
      <rPr>
        <sz val="12"/>
        <color rgb="FFFF0000"/>
        <rFont val="Calibri"/>
        <family val="2"/>
      </rPr>
      <t>Espacement : 75 cm entre lignes × 30 cm sur la ligne</t>
    </r>
    <r>
      <rPr>
        <sz val="12"/>
        <color rgb="FF000000"/>
        <rFont val="Calibri"/>
        <family val="2"/>
      </rPr>
      <t xml:space="preserve">
44000 plants/ha</t>
    </r>
  </si>
  <si>
    <r>
      <t xml:space="preserve">Tubercules
</t>
    </r>
    <r>
      <rPr>
        <u/>
        <sz val="12"/>
        <color rgb="FF000000"/>
        <rFont val="Calibri"/>
        <family val="2"/>
      </rPr>
      <t xml:space="preserve">Préparation: </t>
    </r>
    <r>
      <rPr>
        <sz val="12"/>
        <color rgb="FF000000"/>
        <rFont val="Calibri"/>
        <family val="2"/>
      </rPr>
      <t xml:space="preserve"> choisir les grosses tubercules (30 à 50g) en bon état et provant des organismes producteurs de semences; pas trop vieilles (réserves épuisées) ni trop jeunes (non prégermées); prégermer les tubercules sur des clayelles disposées dans un local aéré, frais et lumineux  pour l'obtention des semences présentant des germes trapus, colorés et courts (1,5 à2 cm). Durée: 2 mois environ.
</t>
    </r>
    <r>
      <rPr>
        <sz val="12"/>
        <color rgb="FFFF0000"/>
        <rFont val="Calibri"/>
        <family val="2"/>
      </rPr>
      <t>Quantité de semence min : 1 500 kg/ha
Quantité de semence max : 2 500 kg/ha</t>
    </r>
    <r>
      <rPr>
        <sz val="12"/>
        <color rgb="FF000000"/>
        <rFont val="Calibri"/>
        <family val="2"/>
      </rPr>
      <t xml:space="preserve">
</t>
    </r>
  </si>
  <si>
    <t>Tubercules</t>
  </si>
  <si>
    <t xml:space="preserve"> • 3 à 4 mois après plantation
 • Indice : feuillage jauni ou desséché
</t>
  </si>
  <si>
    <r>
      <rPr>
        <sz val="12"/>
        <color rgb="FFFF0000"/>
        <rFont val="Calibri"/>
        <family val="2"/>
      </rPr>
      <t xml:space="preserve"> • Labour profond à 25–30 cm
 • Incorporation de compost ou fumier bien décomposé
 • Billonnage de 20 cm de haut</t>
    </r>
    <r>
      <rPr>
        <sz val="12"/>
        <color rgb="FF000000"/>
        <rFont val="Calibri"/>
        <family val="2"/>
      </rPr>
      <t xml:space="preserve">
</t>
    </r>
  </si>
  <si>
    <r>
      <rPr>
        <sz val="12"/>
        <color rgb="FFFF0000"/>
        <rFont val="Calibri"/>
        <family val="2"/>
      </rPr>
      <t xml:space="preserve"> • Désherbage 2 fois
 • Buttage (30 et 60 jours)
 • Surveillance des maladies
 • Arrosage ou gestion des eaux si période sèche</t>
    </r>
    <r>
      <rPr>
        <sz val="12"/>
        <color rgb="FF000000"/>
        <rFont val="Calibri"/>
        <family val="2"/>
      </rPr>
      <t xml:space="preserve">
</t>
    </r>
  </si>
  <si>
    <t>Fumier de zébu ou compost mûr : 10 à 15 T/ha</t>
  </si>
  <si>
    <r>
      <rPr>
        <sz val="12"/>
        <color rgb="FFFF0000"/>
        <rFont val="Calibri"/>
        <family val="2"/>
      </rPr>
      <t>• Dolomie : 0,5 à 1 tonne/ha pour corriger l’acidité du sol.
 • NPK 150 à 200 kg/ha répartis en 2 apports (au semis et 30 jours après).
 • Urée : 50 à 70 kg/ha en apport fractionné.</t>
    </r>
    <r>
      <rPr>
        <sz val="12"/>
        <color rgb="FF000000"/>
        <rFont val="Calibri"/>
        <family val="2"/>
      </rPr>
      <t xml:space="preserve">
</t>
    </r>
  </si>
  <si>
    <r>
      <rPr>
        <sz val="12"/>
        <color rgb="FFFF0000"/>
        <rFont val="Calibri"/>
        <family val="2"/>
      </rPr>
      <t xml:space="preserve"> • Dolomie (si sol acide) : 300 kg/ha
 • NPK  : 300 à 400 kg/ha
 • Urée : 50 kg/ha (en complément)</t>
    </r>
    <r>
      <rPr>
        <sz val="12"/>
        <color rgb="FF000000"/>
        <rFont val="Calibri"/>
        <family val="2"/>
      </rPr>
      <t xml:space="preserve">
</t>
    </r>
  </si>
  <si>
    <t>Très présente dans les régions d’altitude (Antsirabe, Betafo, Manandona). Variété appréciée pour sa rusticité et sa capacité d’adaptation. Sa consommation est très répandue, et elle soutient les revenus paysans locaux.</t>
  </si>
  <si>
    <t>Hordeum</t>
  </si>
  <si>
    <t>BK</t>
  </si>
  <si>
    <t xml:space="preserve">Triticum </t>
  </si>
  <si>
    <t xml:space="preserve"> Avotra 89</t>
  </si>
  <si>
    <t>Ricinus</t>
  </si>
  <si>
    <t>Ricinus communis</t>
  </si>
  <si>
    <t>Foeniculum</t>
  </si>
  <si>
    <t>Cicer</t>
  </si>
  <si>
    <t>Pois chiche commun</t>
  </si>
  <si>
    <t>1 200 à 2 000 m — zones tempérées d’altitude de Madagascar.</t>
  </si>
  <si>
    <t>1 300 à 2 200 m — convient parfaitement aux Hautes Terres (Vakinankaratra, Amoron’i Mania, Analamanga rural).</t>
  </si>
  <si>
    <r>
      <rPr>
        <sz val="12"/>
        <color rgb="FFFF0000"/>
        <rFont val="Calibri"/>
        <family val="2"/>
      </rPr>
      <t>E</t>
    </r>
    <r>
      <rPr>
        <sz val="12"/>
        <color rgb="FF000000"/>
        <rFont val="Calibri"/>
        <family val="2"/>
      </rPr>
      <t xml:space="preserve">viter les sols trop pauvres, de mauvaises structures, les sols qui drainent mal, éviter les terrains à forte pente (&lt;5%), éviter les terrains à précédent cultural: famille des solanacées, pH optimal : </t>
    </r>
    <r>
      <rPr>
        <sz val="12"/>
        <color rgb="FFFF0000"/>
        <rFont val="Calibri"/>
        <family val="2"/>
      </rPr>
      <t>5,5 à 6,5</t>
    </r>
  </si>
  <si>
    <r>
      <rPr>
        <sz val="12"/>
        <color rgb="FFFF0000"/>
        <rFont val="Calibri"/>
        <family val="2"/>
      </rPr>
      <t xml:space="preserve"> • Optimal : 15 à 21 °C
 • Sensible à la chaleur excessive &gt; 28 °C</t>
    </r>
    <r>
      <rPr>
        <sz val="12"/>
        <color rgb="FF000000"/>
        <rFont val="Calibri"/>
        <family val="2"/>
      </rPr>
      <t xml:space="preserve">
</t>
    </r>
  </si>
  <si>
    <t xml:space="preserve"> • Pluviométrie idéale : 850 à 1 200 mm/an
 • Irrigation nécessaire en période sèche, surtout pendant la tubérisation
</t>
  </si>
  <si>
    <r>
      <t xml:space="preserve"> • 1èree saison : septembre–</t>
    </r>
    <r>
      <rPr>
        <sz val="12"/>
        <color rgb="FFFF0000"/>
        <rFont val="Calibri"/>
        <family val="2"/>
      </rPr>
      <t>novembre</t>
    </r>
    <r>
      <rPr>
        <sz val="12"/>
        <color rgb="FF000000"/>
        <rFont val="Calibri"/>
        <family val="2"/>
      </rPr>
      <t xml:space="preserve">
</t>
    </r>
    <r>
      <rPr>
        <u/>
        <sz val="12"/>
        <color rgb="FFFF0000"/>
        <rFont val="Calibri"/>
        <family val="2"/>
      </rPr>
      <t xml:space="preserve"> •2ème saison : Février–avril
</t>
    </r>
  </si>
  <si>
    <r>
      <t xml:space="preserve">Tubercules
</t>
    </r>
    <r>
      <rPr>
        <u/>
        <sz val="12"/>
        <color rgb="FF000000"/>
        <rFont val="Calibri"/>
        <family val="2"/>
      </rPr>
      <t xml:space="preserve">Préparation: </t>
    </r>
    <r>
      <rPr>
        <sz val="12"/>
        <color rgb="FF000000"/>
        <rFont val="Calibri"/>
        <family val="2"/>
      </rPr>
      <t xml:space="preserve"> choisir les grosses tubercules (30 à 50g) en bon état et provant des organismes producteurs de semences; pas trop vieilles (réserves épuisées) ni trop jeunes (non prégermées); prégermer les tubercules sur des clayelles disposées dans un local aéré, frais et lumineux  pour l'obtention des semences présentant des germes trapus, colorés et courts (1,5 à2 cm). Durée: 2 mois environ.
</t>
    </r>
    <r>
      <rPr>
        <sz val="12"/>
        <color rgb="FFFF0000"/>
        <rFont val="Calibri"/>
        <family val="2"/>
      </rPr>
      <t>Quantité de semence min : 2000 kg/ha
Quantité de semence max : 2 500 kg/ha</t>
    </r>
    <r>
      <rPr>
        <sz val="12"/>
        <color rgb="FF000000"/>
        <rFont val="Calibri"/>
        <family val="2"/>
      </rPr>
      <t xml:space="preserve">
</t>
    </r>
  </si>
  <si>
    <t>La variété Kinga est très recherchée dans les circuits commerciaux des grands centres urbains (Tana, Fianarantsoa, Majunga). Elle est utilisée dans les projets agricoles modernes et professionnels. Elle nécessite toutefois une meilleure maîtrise technique que les variétés traditionnelles.</t>
  </si>
  <si>
    <r>
      <t xml:space="preserve">La pomme de terre a été introduite à Madagascar vers le 19ème siècle. </t>
    </r>
    <r>
      <rPr>
        <sz val="12"/>
        <color rgb="FFFF0000"/>
        <rFont val="Calibri"/>
        <family val="2"/>
      </rPr>
      <t>La variété Lava est une sélection locale malgache, très prisée pour sa bonne adaptation agroécologique, sa robustesse et sa productivité moyenne à élevée. Elle présente des tubercules allongés, à peau claire, avec une chair blanche. Elle est particulièrement cultivée dans les Hautes Terres et appréciée pour sa bonne tenue à la cuisson (peu farineuse).</t>
    </r>
  </si>
  <si>
    <t>1 200 à 2 000 m — Adaptée aux régions de moyenne à haute altitude : Vakinankaratra, Itasy, Amoron’i Mania, Haute Matsiatra.</t>
  </si>
  <si>
    <r>
      <rPr>
        <sz val="12"/>
        <color rgb="FFFF0000"/>
        <rFont val="Calibri"/>
        <family val="2"/>
      </rPr>
      <t>E</t>
    </r>
    <r>
      <rPr>
        <sz val="12"/>
        <color rgb="FF000000"/>
        <rFont val="Calibri"/>
        <family val="2"/>
      </rPr>
      <t xml:space="preserve">viter les sols trop pauvres, de mauvaises structures, les sols qui drainent mal, éviter les terrains à forte pente (&lt;5%), éviter les terrains à précédent cultural: famille des solanacées.
</t>
    </r>
    <r>
      <rPr>
        <sz val="12"/>
        <color rgb="FFFF0000"/>
        <rFont val="Calibri"/>
        <family val="2"/>
      </rPr>
      <t>pH idéal : 5,8 à 6,5</t>
    </r>
  </si>
  <si>
    <r>
      <rPr>
        <sz val="12"/>
        <color rgb="FFFF0000"/>
        <rFont val="Calibri"/>
        <family val="2"/>
      </rPr>
      <t>• Optimum : 14 à 22 °C
 • Sensible au stress thermique &gt; 27 °C</t>
    </r>
    <r>
      <rPr>
        <sz val="12"/>
        <color rgb="FF000000"/>
        <rFont val="Calibri"/>
        <family val="2"/>
      </rPr>
      <t xml:space="preserve">
</t>
    </r>
  </si>
  <si>
    <r>
      <rPr>
        <sz val="12"/>
        <color rgb="FFFF0000"/>
        <rFont val="Calibri"/>
        <family val="2"/>
      </rPr>
      <t xml:space="preserve"> • Besoin modéré à élevé : 900 à 1 200 mm/an
 • Nécessite un arrosage régulier ou irrigation pendant la période de tubérisation</t>
    </r>
    <r>
      <rPr>
        <sz val="12"/>
        <color rgb="FF000000"/>
        <rFont val="Calibri"/>
        <family val="2"/>
      </rPr>
      <t xml:space="preserve">
</t>
    </r>
  </si>
  <si>
    <r>
      <rPr>
        <sz val="12"/>
        <color rgb="FFFF0000"/>
        <rFont val="Calibri"/>
        <family val="2"/>
      </rPr>
      <t xml:space="preserve"> • Dolomie (si sol acide) : 300 kg/ha
 • NPK  : 400 kg/ha
 • Urée : 50 kg/ha (en complément au tallage)</t>
    </r>
    <r>
      <rPr>
        <sz val="12"/>
        <color rgb="FF000000"/>
        <rFont val="Calibri"/>
        <family val="2"/>
      </rPr>
      <t xml:space="preserve">
</t>
    </r>
  </si>
  <si>
    <t>La variété Lava est considérée comme une valeur sûre parmi les variétés locales : rendement correct, semences disponibles à moindre coût, et bonne adaptation aux conditions locales. Elle est souvent utilisée dans les exploitations familiales et les petites coopératives. Elle offre également une certaine sécurité alimentaire du fait de sa bonne rusticité.</t>
  </si>
  <si>
    <r>
      <t xml:space="preserve">Lojy ou voanemba
</t>
    </r>
    <r>
      <rPr>
        <sz val="12"/>
        <color rgb="FFFF0000"/>
        <rFont val="Calibri"/>
        <family val="2"/>
      </rPr>
      <t>variété locale</t>
    </r>
  </si>
  <si>
    <r>
      <rPr>
        <sz val="12"/>
        <color rgb="FFFF0000"/>
        <rFont val="Calibri"/>
        <family val="2"/>
      </rPr>
      <t>Niébé
Haricot à œil noir</t>
    </r>
    <r>
      <rPr>
        <sz val="12"/>
        <color theme="1"/>
        <rFont val="Calibri"/>
        <family val="2"/>
      </rPr>
      <t xml:space="preserve">
Lojy
voanemba</t>
    </r>
  </si>
  <si>
    <t>Le niébé est une légumineuse, originaire d’Afrique, cultivée à Madagascar principalement dans les régions sèches du Sud et de l’Ouest. Elle est une source importante de protéines pour la population locale et un élément clé de la rotation culturale, améliorant la fertilité des sols par fixation d’azote atmosphérique. Le niébé est aussi apprécié pour sa résistance à la sécheresse et sa capacité à pousser sur des sols pauvres.</t>
  </si>
  <si>
    <t>Jusqu’à 1 200 mètres, zones basses à moyennes altitudes</t>
  </si>
  <si>
    <t xml:space="preserve"> • Préfère les sols bien drainés, sableux à limoneux
 • Supporte les sols peu fertiles mais préfère pH entre 5,5 et 7,5
 • Sensible à l’engorgement
</t>
  </si>
  <si>
    <t>Stevia</t>
  </si>
  <si>
    <r>
      <t xml:space="preserve">La pomme de terre a été introduite à Madagascar vers le 19ème siècle. 
</t>
    </r>
    <r>
      <rPr>
        <sz val="12"/>
        <color rgb="FFFF0000"/>
        <rFont val="Calibri"/>
        <family val="2"/>
      </rPr>
      <t>La variété Atzimba est originaire du Mexique. Elle a été introduite à Madagascar dans les années 2000 pour sa bonne adaptation aux Hautes Terres et sa qualité culinaire. Elle est aujourd’hui cultivée dans les régions d’Itasy, Vakinankaratra, Analamanga, Amoron’i Mania et Haute Matsiatra. C’est une variété précoce, avec de bons rendements et une bonne aptitude à la transformation (purée, frites).</t>
    </r>
    <r>
      <rPr>
        <sz val="12"/>
        <color rgb="FF000000"/>
        <rFont val="Calibri"/>
        <family val="2"/>
      </rPr>
      <t xml:space="preserve">
</t>
    </r>
  </si>
  <si>
    <t>Entre 1000 et 2000 mètres</t>
  </si>
  <si>
    <r>
      <rPr>
        <sz val="12"/>
        <color rgb="FFFF0000"/>
        <rFont val="Calibri"/>
        <family val="2"/>
      </rPr>
      <t>E</t>
    </r>
    <r>
      <rPr>
        <sz val="12"/>
        <color rgb="FF000000"/>
        <rFont val="Calibri"/>
        <family val="2"/>
      </rPr>
      <t xml:space="preserve">viter les sols trop pauvres, de mauvaises structures, les sols qui drainent mal, éviter les terrains à forte pente (&lt;5%), éviter les terrains à précédent cultural: famille des solanacées, pH optimal : </t>
    </r>
    <r>
      <rPr>
        <sz val="12"/>
        <color rgb="FFFF0000"/>
        <rFont val="Calibri"/>
        <family val="2"/>
      </rPr>
      <t>5,5 à 6,6</t>
    </r>
    <r>
      <rPr>
        <sz val="11"/>
        <color theme="1"/>
        <rFont val="Aptos Narrow"/>
        <family val="2"/>
        <scheme val="minor"/>
      </rPr>
      <t/>
    </r>
  </si>
  <si>
    <t>Optimal entre 15 et 22 °C ; sensible à la chaleur au-dessus de 25 °C</t>
  </si>
  <si>
    <t>600 à 800 mm durant le cycle, avec arrosage ou pluie régulière sans excès</t>
  </si>
  <si>
    <t>La variété Atzimba est appréciée par les producteurs pour sa précocité et sa capacité à bien se développer dans les Hautes Terres. Elle répond bien aux besoins des consommateurs urbains. Cependant, l’accès à des semences certifiées reste limité, ce qui entraîne parfois des baisses de rendement. Des formations en itinéraire technique et une meilleure organisation des producteurs pourraient renforcer la filière.</t>
  </si>
  <si>
    <r>
      <t xml:space="preserve">La pomme de terre a été introduite à Madagascar vers le 19ème siècle. </t>
    </r>
    <r>
      <rPr>
        <sz val="12"/>
        <color rgb="FFFF0000"/>
        <rFont val="Calibri"/>
        <family val="2"/>
      </rPr>
      <t>La variété Spunta est originaire des Pays-Bas. Elle a été introduite à Madagascar dans les années 1990 et est aujourd’hui largement cultivée dans les Hautes Terres. Elle est très appréciée pour ses tubercules de gros calibre, sa peau jaune claire, sa bonne qualité culinaire et sa production rapide. Elle est souvent destinée aux marchés urbains et aux circuits de transformation (purée, frites, chips).</t>
    </r>
  </si>
  <si>
    <r>
      <rPr>
        <sz val="12"/>
        <color rgb="FFFF0000"/>
        <rFont val="Calibri"/>
        <family val="2"/>
      </rPr>
      <t>Entre 1000 et 2000 mètres</t>
    </r>
    <r>
      <rPr>
        <sz val="12"/>
        <color rgb="FF000000"/>
        <rFont val="Calibri"/>
        <family val="2"/>
      </rPr>
      <t>, idéale à la région d'Analamanga (Andramasina, Manjakandriana), région de Vakinankaratra (Antanifotsy, Antsirabe,Faratsiho, Betafo), région d'Amoron'i Maria, région de la Haute Matsiatra, région d'Alaotra Mangoro (Ambatondrazaka)</t>
    </r>
  </si>
  <si>
    <t>Température idéale entre 15 et 22 °C ; sensible à la chaleur excessive</t>
  </si>
  <si>
    <t>Besoins modérés à élevés, entre 600 et 800 mm pendant le cycle ; bon drainage indispensable</t>
  </si>
  <si>
    <t>Tubercules
Tubercules sains de calibre 28-45 mm, avec débuts de germination</t>
  </si>
  <si>
    <t>Fumier de zébu ou compost mûr : 8 à 10 T/ha</t>
  </si>
  <si>
    <r>
      <rPr>
        <sz val="12"/>
        <color rgb="FFFF0000"/>
        <rFont val="Calibri"/>
        <family val="2"/>
      </rPr>
      <t xml:space="preserve"> • Pucerons : transmission de virus, feuilles déformées, feuilles recroquevillées. Lutte intégrée ou biopesticides</t>
    </r>
    <r>
      <rPr>
        <sz val="12"/>
        <color rgb="FFFF0000"/>
        <rFont val="Calibri"/>
        <family val="2"/>
      </rPr>
      <t xml:space="preserve">
 • Altises : petits trous → roténone végétale, purin de neem
 • Taupins : galeries dans tubercules → rotation, solarisation</t>
    </r>
    <r>
      <rPr>
        <sz val="12"/>
        <color rgb="FF000000"/>
        <rFont val="Calibri"/>
        <family val="2"/>
      </rPr>
      <t xml:space="preserve">
</t>
    </r>
  </si>
  <si>
    <r>
      <t xml:space="preserve"> • Mildiou de la pomme de terre : </t>
    </r>
    <r>
      <rPr>
        <sz val="12"/>
        <color rgb="FFFF0000"/>
        <rFont val="Calibri"/>
        <family val="2"/>
      </rPr>
      <t>taches brunes, pourriture</t>
    </r>
    <r>
      <rPr>
        <sz val="12"/>
        <color rgb="FF000000"/>
        <rFont val="Calibri"/>
        <family val="2"/>
      </rPr>
      <t xml:space="preserve"> : utiliser 2,5kg/ha de dithane M45 pour 300l d'eau, appliquer 3 ou 4 fois tous les 10j quand la hauteur de la plante atteint 20cm)</t>
    </r>
    <r>
      <rPr>
        <sz val="12"/>
        <color rgb="FFFF0000"/>
        <rFont val="Calibri"/>
        <family val="2"/>
      </rPr>
      <t xml:space="preserve"> ou Lutte préventive par bouillie bordelaise</t>
    </r>
    <r>
      <rPr>
        <sz val="12"/>
        <color rgb="FF000000"/>
        <rFont val="Calibri"/>
        <family val="2"/>
      </rPr>
      <t xml:space="preserve">
 • </t>
    </r>
    <r>
      <rPr>
        <sz val="12"/>
        <color rgb="FFFF0000"/>
        <rFont val="Calibri"/>
        <family val="2"/>
      </rPr>
      <t>Gale commune : croûtes brunes, : lésions rugueuses sur les tubercules. Lutte par choix de parcelles non contaminées, irrigation maîtrisée
 • Rhizoctonia : pourriture noire → lutte prophylactique</t>
    </r>
    <r>
      <rPr>
        <sz val="12"/>
        <color rgb="FF000000"/>
        <rFont val="Calibri"/>
        <family val="2"/>
      </rPr>
      <t xml:space="preserve">
</t>
    </r>
  </si>
  <si>
    <r>
      <t xml:space="preserve">La pomme de terre a été introduite à Madagascar vers le 19ème siècle. </t>
    </r>
    <r>
      <rPr>
        <sz val="12"/>
        <color rgb="FFFF0000"/>
        <rFont val="Calibri"/>
        <family val="2"/>
      </rPr>
      <t>Miova est une variété sélectionnée et développée localement par le FIFAMANOR pour répondre aux conditions spécifiques des Hautes Terres malgaches. Elle est issue de croisements entre variétés internationales performantes et adaptées au climat tempéré d’altitude. Miova a été introduite pour améliorer les rendements, la tolérance aux maladies, et la qualité culinaire. Elle est cultivée dans plusieurs régions comme Vakinankaratra, Analamanga, Itasy, et Amoron’i Mania.</t>
    </r>
  </si>
  <si>
    <t>Entre 1200 et 1800 mètres d’altitude</t>
  </si>
  <si>
    <r>
      <rPr>
        <sz val="12"/>
        <color rgb="FFFF0000"/>
        <rFont val="Calibri"/>
        <family val="2"/>
      </rPr>
      <t>E</t>
    </r>
    <r>
      <rPr>
        <sz val="12"/>
        <color rgb="FF000000"/>
        <rFont val="Calibri"/>
        <family val="2"/>
      </rPr>
      <t xml:space="preserve">viter les sols trop pauvres, de mauvaises structures, les sols qui drainent mal, éviter les terrains à forte pente (&lt;5%), éviter les terrains à précédent cultural: famille des solanacées.
</t>
    </r>
    <r>
      <rPr>
        <sz val="12"/>
        <color rgb="FFFF0000"/>
        <rFont val="Calibri"/>
        <family val="2"/>
      </rPr>
      <t>pH idéal entre 5,5 et 6,5</t>
    </r>
  </si>
  <si>
    <t>Température optimale entre 16 et 22 °C ; sensible à la chaleur au-delà de 28 °C</t>
  </si>
  <si>
    <t>Besoins modérés à élevés, entre 600 et 800 mm pendant le cycle de culture</t>
  </si>
  <si>
    <t>Tubercules,
, sains et pré-germés de préférence</t>
  </si>
  <si>
    <t>Fumier de zébu ou compost mûr : 10 à 12 T/ha</t>
  </si>
  <si>
    <t>Miova est une variété performante bien adaptée aux Hautes Terres centrales de Madagascar. Elle est prisée pour sa bonne productivité, sa tolérance au mildiou et sa qualité gustative. Toutefois, la production reste limitée par l’accès irrégulier à des semences de qualité. La filière pourrait être améliorée par le renforcement de la production de semences certifiées, la formation technique des agriculteurs et la promotion des bonnes pratiques culturales.</t>
  </si>
  <si>
    <r>
      <t>Climat tropical s</t>
    </r>
    <r>
      <rPr>
        <sz val="12"/>
        <color rgb="FFFF0000"/>
        <rFont val="Calibri"/>
        <family val="2"/>
      </rPr>
      <t>ec à semi-aride</t>
    </r>
  </si>
  <si>
    <t xml:space="preserve">• Besoin modéré en eau : 400 à 700 mm/an
 • Tolère la sécheresse grâce à son système racinaire profond
 • Nécessite un minimum d’humidité pendant la floraison et la formation des gousses
</t>
  </si>
  <si>
    <t xml:space="preserve">• Fin saison sèche ou début saison des pluies (novembre à décembre) pour profiter des pluies croissantes
 • Semis direct en place
</t>
  </si>
  <si>
    <t xml:space="preserve">• Espacement conseillé : 50 cm entre rangs × 20 cm entre plants
 • Environ 100 000 plants par hectare
</t>
  </si>
  <si>
    <r>
      <t xml:space="preserve">Semences bien triées, à bonne germination, propre
</t>
    </r>
    <r>
      <rPr>
        <sz val="12"/>
        <color rgb="FFFF0000"/>
        <rFont val="Calibri"/>
        <family val="2"/>
      </rPr>
      <t>Quantité entre 15 et 25 kg/ha selon qualité des graines</t>
    </r>
  </si>
  <si>
    <t xml:space="preserve">• Récolte manuelle, quand les cosses deviennent sèches et brunes
 • Égrenage manuel ou mécanique selon les moyens disponibles
</t>
  </si>
  <si>
    <t xml:space="preserve"> • Sarclage régulier (2 à 3 fois) pour limiter la concurrence
 • Surveillance des parasites et maladies
 • Rotation avec des cultures non légumineuses pour limiter les maladies du sol
</t>
  </si>
  <si>
    <t xml:space="preserve"> • Labour superficiel pour ameublir la couche superficielle
 • Désherbage pour éliminer les mauvaises herbes concurrentes
</t>
  </si>
  <si>
    <t xml:space="preserve">Utilisation de compost ou fumier bien décomposé : 5 à 10 tonnes par hectare pour améliorer la structure du sol et sa fertilité
</t>
  </si>
  <si>
    <t xml:space="preserve">Avant semis – Fertilisation de fond
Engrais NPK 100 à 150 kg/ha à incorporer dans le sol 1 à 2 semaines avant semis.
Cet apport soutient le démarrage de la culture : développement racinaire, tiges et premières feuilles.
Stade pré-floraison (35 à 45 jours après semis)
Sulfate de potassium (K₂SO₄) 50 à 70 kg/ha en application de couverture (épandage localisé ou en ligne), accompagné d’un léger arrosage ou enfouissement léger pour limiter les pertes.
L'apport du potassium est important pour le remplissage des gousses, la qualité des graines, et la tolérance à la sécheresse.
LE soufre (S) est essentiel pour la synthèse des protéines dans les graines.
</t>
  </si>
  <si>
    <t xml:space="preserve">• Oïdium : présence de poudre blanche sur feuilles → traitements au soufre ou fongicides bio
 • Rouille : taches jaunes à orange sur feuilles → traitement fongicide, éviter l’humidité excessive
 • Anthracnose : taches noires sur feuilles et tiges → destruction des résidus de culture et fongicides
</t>
  </si>
  <si>
    <t xml:space="preserve"> • Pucerons : provoquent jaunissement et déformation des feuilles → utilisation de purins végétaux (ex. neem) ou insecticides bio
 • Bruches du niébé (charançons) : larves creusant les graines → rotation culturale, récolte précoce, et stockage dans des conditions hermétiques
</t>
  </si>
  <si>
    <t>Le niébé est une culture traditionnelle dans le Sud et l’Ouest de Madagascar, zones soumises à de fortes sécheresses. Sa capacité à fixer l’azote en fait une culture précieuse pour améliorer la fertilité des sols pauvres. Des programmes d’introduction de variétés améliorées permettent d’accroître les rendements tout en résistant mieux aux ravageurs et maladies. Il est souvent cultivé en association ou en rotation avec le maïs ou le mil.</t>
  </si>
  <si>
    <t>Zanzibar</t>
  </si>
  <si>
    <r>
      <t xml:space="preserve">Girofle
</t>
    </r>
    <r>
      <rPr>
        <sz val="12"/>
        <color rgb="FFFF0000"/>
        <rFont val="Calibri"/>
        <family val="2"/>
      </rPr>
      <t>Clou de girofle</t>
    </r>
  </si>
  <si>
    <t>Girofle
Clou de girofle</t>
  </si>
  <si>
    <t>Le girofle est une épice obtenue à partir des boutons floraux séchés d’un arbre tropical. Originaire d’Indonésie, il est cultivé à Madagascar depuis 1775, surtout dans les régions côtières humides comme Nosy Be, Sainte Marie et Fénérive Est. Le girofle est très apprécié pour son parfum et son utilisation en cuisine, médecine traditionnelle et commerce.</t>
  </si>
  <si>
    <t xml:space="preserve">Pérenne </t>
  </si>
  <si>
    <t>Altitude : Jusqu’à 500 mètres, en zone côtière</t>
  </si>
  <si>
    <t>Sols riches, bien drainés et légèrement acides</t>
  </si>
  <si>
    <t>Chaud, entre 20 et 30°C</t>
  </si>
  <si>
    <r>
      <t xml:space="preserve">1500 à 2000 mm
</t>
    </r>
    <r>
      <rPr>
        <sz val="12"/>
        <color rgb="FFFF0000"/>
        <rFont val="Calibri"/>
        <family val="2"/>
      </rPr>
      <t>Besoin d’eau important</t>
    </r>
  </si>
  <si>
    <t xml:space="preserve">• On commence par semer en pépinière en début de saison de pluie (Novembre à janvier) , puis repiquer après 12 mois jusqu'à l'obtention  de plants de 30 à 40 cm de hauteur
• repiqage: décembre à mars en pleine saison des pluies
</t>
  </si>
  <si>
    <t xml:space="preserve"> • Espacement recommandé : environ 7 m entre arbres
204 plants par hectare
</t>
  </si>
  <si>
    <t xml:space="preserve"> • L’arbre met environ 6 à 7 ans avant de produire ses premiers boutons
 • Il peut produire pendant 40 à 50 ans
 • On cueille les boutons floraux juste avant qu’ils ne s’ouvrent
 • Puis on les fait sécher au soleil jusqu’à ce qu’ils deviennent marron foncé
</t>
  </si>
  <si>
    <t>Graines 
graines provenant des fruits mûrs du giroflier, appelés localement :
 • « baies » ou « clous mûrs » (non récoltés pour les épices, mais laissés à maturation complète sur l’arbre)</t>
  </si>
  <si>
    <t xml:space="preserve">• Désherbage régulier
 • Taille pour aérer l’arbre
 • Surveillance des maladies et insectes nuisibles
</t>
  </si>
  <si>
    <t xml:space="preserve">• Apport de compost (10-20 tonnes/ha par an)
 • Engrais minéraux (NPK) en quantité modérée
</t>
  </si>
  <si>
    <t xml:space="preserve">Préparation du terrain et plantation
 • Nettoyage du terrain et élimination des plantes concurrentes
 • Trous : 60 x 60 x 60 cm
 • Remplissage :
 • Terre fine + 5 à 10 kg de compost ou fumier bien décomposé
 • 100 à 150 g de chaux si pH &lt; 5,5
</t>
  </si>
  <si>
    <r>
      <rPr>
        <b/>
        <sz val="12"/>
        <color rgb="FFFF0000"/>
        <rFont val="Calibri"/>
        <family val="2"/>
      </rPr>
      <t>La gommose du giroflier</t>
    </r>
    <r>
      <rPr>
        <sz val="12"/>
        <color rgb="FFFF0000"/>
        <rFont val="Calibri"/>
        <family val="2"/>
      </rPr>
      <t xml:space="preserve"> (Phytophthora palmivora, Phytophthora nicotianae)
Suintement de gomme brunâtre sur le tronc ou les grosses branches
 • Nécrose de l’écorce, craquelures
 • Jaunissement du feuillage, affaiblissement de l’arbre
 • Parfois mort de l’arbre si attaque sévère
Lutte :
Préventive :
 • Planter sur sol bien drainé, éviter les zones basses
 • Éviter les blessures mécaniques (taille, outils)
 • Élaguer les branches basses pour améliorer l’aération
Curative :
 • Gratter la zone nécrosée, désinfecter avec :
 • Bouillie bordelaise ou • Solution de cuivre (oxychlorure de cuivre 50 %)
 • Application de fongicides systémiques si atteinte avancée :
 • Ex : Mancozèbe, Metalaxyl-M, en badigeonnage ou pulvérisation locale
 • Brûler les écorces infectées
</t>
    </r>
    <r>
      <rPr>
        <b/>
        <sz val="12"/>
        <color rgb="FFFF0000"/>
        <rFont val="Calibri"/>
        <family val="2"/>
      </rPr>
      <t>La fusariose vasculaire</t>
    </r>
    <r>
      <rPr>
        <sz val="12"/>
        <color rgb="FFFF0000"/>
        <rFont val="Calibri"/>
        <family val="2"/>
      </rPr>
      <t xml:space="preserve"> (Fusarium oxysporum)
• Flétrissement soudain, jaunissement puis chute des feuilles
 • Ralentissement de croissance, mort progressive de jeunes plants
Lutte :
Préventive :
 • Utiliser uniquement des semences et plants sains
 • Désinfecter les outils avec de l’eau de javel diluée ou de l’alcool
 • Éviter les arrosages excessifs
Curative :
 • Aucun traitement chimique curatif efficace
 • Arracher et brûler les plants infectés
 • Rotation avec des cultures non sensibles pendant 3 à 5 ans
</t>
    </r>
    <r>
      <rPr>
        <b/>
        <sz val="12"/>
        <color rgb="FFFF0000"/>
        <rFont val="Calibri"/>
        <family val="2"/>
      </rPr>
      <t>Taches foliaires</t>
    </r>
    <r>
      <rPr>
        <sz val="12"/>
        <color rgb="FFFF0000"/>
        <rFont val="Calibri"/>
        <family val="2"/>
      </rPr>
      <t xml:space="preserve"> (Cercospora, Colletotrichum)
 • Petites taches brunes ou noires sur les feuilles
 • Déformation ou chute prématurée des feuilles
 • Faible photosynthèse → réduction du rendement
Lutte :
 • Élagage pour aérer la canopée
 • Ramassage et destruction des feuilles malades
 • Pulvérisation préventive de :
 • Bouillie bordelaise
 • Mancozèbe tous les 15 jours en saison humide</t>
    </r>
  </si>
  <si>
    <r>
      <rPr>
        <b/>
        <sz val="12"/>
        <color rgb="FFFF0000"/>
        <rFont val="Calibri"/>
        <family val="2"/>
      </rPr>
      <t xml:space="preserve">Pucerons </t>
    </r>
    <r>
      <rPr>
        <sz val="12"/>
        <color rgb="FFFF0000"/>
        <rFont val="Calibri"/>
        <family val="2"/>
      </rPr>
      <t xml:space="preserve">(Aphididae)
 • Feuilles enroulées, collantes (présence de miellat)
 • Développement de fumagine noire
 • Affaiblissement général des jeunes pousses
Lutte :
 • Pulvérisation de savon insecticide (savon noir + eau)
 • Extraits de neem (Azadirachtine)
 • Encourager les ennemis naturels (coccinelles)
</t>
    </r>
    <r>
      <rPr>
        <b/>
        <sz val="12"/>
        <color rgb="FFFF0000"/>
        <rFont val="Calibri"/>
        <family val="2"/>
      </rPr>
      <t xml:space="preserve"> Cochenilles </t>
    </r>
    <r>
      <rPr>
        <sz val="12"/>
        <color rgb="FFFF0000"/>
        <rFont val="Calibri"/>
        <family val="2"/>
      </rPr>
      <t xml:space="preserve">(Diaspididae, Pseudococcidae)
 • Présence de petites plaques blanches ou brunes sur les rameaux et les feuilles
 • Succion de sève → feuilles décolorées
 • Présence de fumagine
Lutte :
 • Taille des parties infestées
 • Pulvérisation d’un mélange de savon insecticide + huile de neem
 • Application de huile blanche horticole (en saison sèche)
</t>
    </r>
    <r>
      <rPr>
        <b/>
        <sz val="12"/>
        <color rgb="FFFF0000"/>
        <rFont val="Calibri"/>
        <family val="2"/>
      </rPr>
      <t>Criquets</t>
    </r>
    <r>
      <rPr>
        <sz val="12"/>
        <color rgb="FFFF0000"/>
        <rFont val="Calibri"/>
        <family val="2"/>
      </rPr>
      <t xml:space="preserve"> (surtout en période sèche)
 • Feuilles mangées en bordure
 • Attaques massives en cas d’invasion
Lutte :
 • Surveillance en saison sèche
 • Collecte manuelle, piégeage
 • Application localisée de biopesticides (si disponibles)
</t>
    </r>
  </si>
  <si>
    <t>Vigna subterranea</t>
  </si>
  <si>
    <t>Non spécifiquement nommée à Madagascar (variétés locales dominantes)</t>
  </si>
  <si>
    <r>
      <rPr>
        <sz val="12"/>
        <color rgb="FFFF0000"/>
        <rFont val="Calibri"/>
        <family val="2"/>
      </rPr>
      <t xml:space="preserve">Pois de Bambara </t>
    </r>
    <r>
      <rPr>
        <sz val="12"/>
        <color theme="1"/>
        <rFont val="Calibri"/>
        <family val="2"/>
      </rPr>
      <t xml:space="preserve">
Voanjobory</t>
    </r>
  </si>
  <si>
    <r>
      <rPr>
        <sz val="12"/>
        <color rgb="FFFF0000"/>
        <rFont val="Calibri"/>
        <family val="2"/>
      </rPr>
      <t>Le voanjobory est une légumineuse traditionnelle cultivée principalement dans le Sud, l’Ouest et le Centre de Madagascar. Il est très résistant à la sécheresse et joue un rôle important dans l’alimentation locale pour sa richesse en protéines. Culture ancienne, il est bien adapté aux conditions agroécologiques difficiles.</t>
    </r>
    <r>
      <rPr>
        <sz val="12"/>
        <color rgb="FF000000"/>
        <rFont val="Calibri"/>
        <family val="2"/>
      </rPr>
      <t xml:space="preserve">
</t>
    </r>
  </si>
  <si>
    <t>Léger, bien drainé, sablo-limoneux à sablo-argileux, pH 5,5–6,5</t>
  </si>
  <si>
    <r>
      <t>20 -</t>
    </r>
    <r>
      <rPr>
        <sz val="12"/>
        <color rgb="FFFF0000"/>
        <rFont val="Calibri"/>
        <family val="2"/>
      </rPr>
      <t xml:space="preserve"> 30°C</t>
    </r>
  </si>
  <si>
    <r>
      <t xml:space="preserve">750 - 900mm
</t>
    </r>
    <r>
      <rPr>
        <sz val="12"/>
        <color rgb="FFFF0000"/>
        <rFont val="Calibri"/>
        <family val="2"/>
      </rPr>
      <t>tolère les périodes de sécheresse</t>
    </r>
  </si>
  <si>
    <r>
      <t xml:space="preserve">Climat </t>
    </r>
    <r>
      <rPr>
        <sz val="12"/>
        <color rgb="FFFF0000"/>
        <rFont val="Calibri"/>
        <family val="2"/>
      </rPr>
      <t>Tropical sec ou subhumide</t>
    </r>
  </si>
  <si>
    <t>Début saison des pluies (novembre à jfévrier)</t>
  </si>
  <si>
    <t>40 000 à 60 000 plants/ha</t>
  </si>
  <si>
    <r>
      <rPr>
        <sz val="12"/>
        <color rgb="FFFF0000"/>
        <rFont val="Calibri"/>
        <family val="2"/>
      </rPr>
      <t>Graine
Quantité de semence min (kg/ha) : 80 kg
 Quantité de semence max (kg/ha) : 100 kg</t>
    </r>
    <r>
      <rPr>
        <sz val="12"/>
        <color theme="1"/>
        <rFont val="Calibri"/>
        <family val="2"/>
      </rPr>
      <t xml:space="preserve">
</t>
    </r>
  </si>
  <si>
    <t>Graines</t>
  </si>
  <si>
    <t>3 à 4 mois après semis, lorsque les gousses sont sèches</t>
  </si>
  <si>
    <t>Sarclage (2 fois), buttage si besoin, désherbage manuel</t>
  </si>
  <si>
    <t xml:space="preserve">Labour profond suivi d’un hersage pour aérer le sol
</t>
  </si>
  <si>
    <t>Compost ou fumier bien décomposé (5 à 10 T/ha)</t>
  </si>
  <si>
    <t xml:space="preserve">• Anthracnose (taches brunes sur tiges et feuilles), solution : rotation culturale, semences saines
 • Mildiou : feuillage jauni, lutte avec décoctions de plantes locales ou bouillie bordelaise
</t>
  </si>
  <si>
    <t xml:space="preserve"> • Charançon du pois : Trous dans les graines, solution : traitement post-récolte (stockage hermétique, feuilles de neem)
 • Légionnaires / chenilles : défoliation, lutte manuelle et biopesticides (extrait de neem, cendre)
</t>
  </si>
  <si>
    <r>
      <rPr>
        <b/>
        <sz val="12"/>
        <color rgb="FFFF0000"/>
        <rFont val="Calibri"/>
        <family val="2"/>
      </rPr>
      <t>C</t>
    </r>
    <r>
      <rPr>
        <b/>
        <sz val="12"/>
        <color theme="1"/>
        <rFont val="Calibri"/>
        <family val="2"/>
      </rPr>
      <t>ajanus</t>
    </r>
  </si>
  <si>
    <r>
      <rPr>
        <b/>
        <sz val="12"/>
        <color rgb="FFFF0000"/>
        <rFont val="Calibri"/>
        <family val="2"/>
      </rPr>
      <t>C</t>
    </r>
    <r>
      <rPr>
        <sz val="12"/>
        <color theme="1"/>
        <rFont val="Calibri"/>
        <family val="2"/>
      </rPr>
      <t xml:space="preserve">ajanus cajan </t>
    </r>
  </si>
  <si>
    <r>
      <rPr>
        <sz val="12"/>
        <color rgb="FFFF0000"/>
        <rFont val="Calibri"/>
        <family val="2"/>
      </rPr>
      <t xml:space="preserve">Pois d’Angole </t>
    </r>
    <r>
      <rPr>
        <sz val="12"/>
        <color theme="1"/>
        <rFont val="Calibri"/>
        <family val="2"/>
      </rPr>
      <t xml:space="preserve">
Amberopatry</t>
    </r>
  </si>
  <si>
    <t>0 à 1800 m</t>
  </si>
  <si>
    <t>Tolère divers types de sols, préfère sols sablo-limoneux, bien drainés, pH 5–7</t>
  </si>
  <si>
    <t>18 à 35°C</t>
  </si>
  <si>
    <t>600 à 1000 mm/an, tolère sécheresse prolongée</t>
  </si>
  <si>
    <t xml:space="preserve">Tropical sec, subhumide </t>
  </si>
  <si>
    <t xml:space="preserve"> Octobre à décembre (début des pluies)</t>
  </si>
  <si>
    <t>Le pois d’Angole, appelé localement Amberopatry, est une légumineuse vivace originaire de l’Inde, largement introduite dans les régions tropicales et cultivée depuis longtemps à Madagascar. Il est utilisé à la fois pour l’alimentation humaine, l’amélioration de la fertilité du sol (fixation de l’azote) et comme fourrage. C’est une plante très résistante à la sécheresse, idéale pour les zones à climat difficile.</t>
  </si>
  <si>
    <t>• Espacement : 1 m x 0,5 m ou 1 m x 1 m selon la taille de la variété
 • Densité moyenne : 10 000 à 20 000 plants/ha</t>
  </si>
  <si>
    <t>graines sèches issues de plants sains et bien développés
10 à 15 kg/ha selon calibre et méthode de semis</t>
  </si>
  <si>
    <t>• La récolte a lieu environ 4 à 6 mois après le semis pour les variétés à cycle court.
 • Pour les variétés à cycle plus long ou conduites en culture pérenne, la récolte peut s’étaler sur plusieurs mois, avec plusieurs passages successifs.</t>
  </si>
  <si>
    <t>Variétés locales à cycle court ou long</t>
  </si>
  <si>
    <r>
      <t xml:space="preserve">Pérenne 
</t>
    </r>
    <r>
      <rPr>
        <sz val="12"/>
        <color rgb="FFFF0000"/>
        <rFont val="Calibri"/>
        <family val="2"/>
      </rPr>
      <t>Peut être conduite comme une annuelle (12 mois) ou une pérenne (2 à 3 ans) selon les pratiques</t>
    </r>
  </si>
  <si>
    <t>Labour superficiel, désherbage avant semis</t>
  </si>
  <si>
    <t>• Sarclages manuels pendant les 2 à 3 premiers mois
 • Buttage léger à la base des plants (optionnel)
 • Paillage possible pour conserver l’humidité</t>
  </si>
  <si>
    <t>Compost ou fumier bien décomposé : 5 tonnes/ha avant le semis</t>
  </si>
  <si>
    <r>
      <rPr>
        <sz val="12"/>
        <color rgb="FFFF0000"/>
        <rFont val="Calibri"/>
        <family val="2"/>
      </rPr>
      <t>Charançon du pois : attaque les graines en stockage – solution : tri, feuilles de neem, stock hermétique
 • Pucerons : jeunes pousses recroquevillées – solution : purin de neem, décoction d’ail-piment</t>
    </r>
    <r>
      <rPr>
        <sz val="12"/>
        <color theme="1"/>
        <rFont val="Calibri"/>
        <family val="2"/>
      </rPr>
      <t xml:space="preserve">
</t>
    </r>
  </si>
  <si>
    <t xml:space="preserve">• Fusariose (flétrissement) – solution : rotation, arrachage des plants malades
 • Mildiou / Rouille – taches foliaires jaunes ou orangées – décoction de prêle, bouillie bordelaise si besoin
</t>
  </si>
  <si>
    <t>Cornichon, concombre de table</t>
  </si>
  <si>
    <r>
      <rPr>
        <sz val="12"/>
        <color rgb="FFFF0000"/>
        <rFont val="Calibri"/>
        <family val="2"/>
      </rPr>
      <t>C</t>
    </r>
    <r>
      <rPr>
        <sz val="12"/>
        <color theme="1"/>
        <rFont val="Calibri"/>
        <family val="2"/>
      </rPr>
      <t xml:space="preserve">ornichon
</t>
    </r>
    <r>
      <rPr>
        <sz val="12"/>
        <color rgb="FFFF0000"/>
        <rFont val="Calibri"/>
        <family val="2"/>
      </rPr>
      <t>C</t>
    </r>
    <r>
      <rPr>
        <sz val="12"/>
        <color theme="1"/>
        <rFont val="Calibri"/>
        <family val="2"/>
      </rPr>
      <t>oncombre</t>
    </r>
  </si>
  <si>
    <t>Le concombre est une plante potagère originaire de l’Asie. Il est cultivé à Madagascar pour sa consommation fraîche (crudité) ou transformée en cornichon (conservation au vinaigre). Sa culture est relativement courte et permet plusieurs cycles par an, surtout en zones irriguées.</t>
  </si>
  <si>
    <t>0 à 1200 m</t>
  </si>
  <si>
    <t>Riche en matière organique, bien drainé, sablo-limoneux, pH 6–7</t>
  </si>
  <si>
    <t>600 à 1200 mm/an, nécessite irrigation régulière en saison sèche</t>
  </si>
  <si>
    <t>Tropical humide ou subhumide, zones tempérées chaudes</t>
  </si>
  <si>
    <t>Toute l’année en irrigué ; sinon septembre à janvier</t>
  </si>
  <si>
    <t>25 000 à 35 000 plants/ha</t>
  </si>
  <si>
    <t xml:space="preserve">Graine certifiée
Quantité de semence min (kg/ha) : 2 kg
 Quantité de semence max (kg/ha) : 3 kg
</t>
  </si>
  <si>
    <t>2 à 3 mois après semis, récolte régulière tous les 2–3 jours pour cornichons</t>
  </si>
  <si>
    <t>Labour profond, apport de compost, planches surélevées en zone humide</t>
  </si>
  <si>
    <t>Sarclage, paillage, tuteurage (si variété grimpante), irrigation fréquente</t>
  </si>
  <si>
    <t>Compost ou fumier bien décomposé : 10 à 15 T/ha</t>
  </si>
  <si>
    <t xml:space="preserve">• NPK 200–300 kg/ha en 2 apports
 • Urée 100 kg/ha à la floraison
 • Dolomie : 200 kg/ha si sol acide
</t>
  </si>
  <si>
    <t xml:space="preserve">• Mouches des fruits : trous sur fruits – piégeage, filets, rotation
 • Acariens rouges : feuilles jaunies – savon noir, décoction d’ail
 • Pucerons : jeunes feuilles recroquevillées – décoction de neem ou tabac
</t>
  </si>
  <si>
    <t xml:space="preserve"> • Oïdium (poudre blanche sur les feuilles) – soufre, décoction de prêle
 • Mildiou : taches huileuses – bouillie bordelaise
 • Fusariose : jaunissement – éviter excès d’humidité, rotation culturale
</t>
  </si>
  <si>
    <t>Cucurbita pepo</t>
  </si>
  <si>
    <t>Black Beauty</t>
  </si>
  <si>
    <r>
      <rPr>
        <sz val="12"/>
        <color rgb="FFFF0000"/>
        <rFont val="Calibri"/>
        <family val="2"/>
      </rPr>
      <t>C</t>
    </r>
    <r>
      <rPr>
        <sz val="12"/>
        <color theme="1"/>
        <rFont val="Calibri"/>
        <family val="2"/>
      </rPr>
      <t xml:space="preserve">ourgette
</t>
    </r>
    <r>
      <rPr>
        <sz val="12"/>
        <color rgb="FFFF0000"/>
        <rFont val="Calibri"/>
        <family val="2"/>
      </rPr>
      <t xml:space="preserve">Kourzety </t>
    </r>
  </si>
  <si>
    <r>
      <rPr>
        <sz val="12"/>
        <color rgb="FFFF0000"/>
        <rFont val="Calibri"/>
        <family val="2"/>
      </rPr>
      <t>C</t>
    </r>
    <r>
      <rPr>
        <sz val="12"/>
        <color theme="1"/>
        <rFont val="Calibri"/>
        <family val="2"/>
      </rPr>
      <t xml:space="preserve">ornichon
</t>
    </r>
    <r>
      <rPr>
        <sz val="12"/>
        <color rgb="FFFF0000"/>
        <rFont val="Calibri"/>
        <family val="2"/>
      </rPr>
      <t>C</t>
    </r>
    <r>
      <rPr>
        <sz val="12"/>
        <color theme="1"/>
        <rFont val="Calibri"/>
        <family val="2"/>
      </rPr>
      <t xml:space="preserve">oncombre
</t>
    </r>
    <r>
      <rPr>
        <sz val="12"/>
        <color rgb="FFFF0000"/>
        <rFont val="Calibri"/>
        <family val="2"/>
      </rPr>
      <t>Kokombra</t>
    </r>
  </si>
  <si>
    <t>Courgette</t>
  </si>
  <si>
    <t>La courgette est une plante potagère originaire d’Amérique centrale. Elle est introduite et cultivée à Madagascar principalement en zones périurbaines pour approvisionner les marchés en légumes frais. Elle se développe rapidement, offre de bons rendements, et peut être cultivée plusieurs fois par an.</t>
  </si>
  <si>
    <t>Fertile, bien drainé, riche en matière organique ; pH 6–7</t>
  </si>
  <si>
    <t>600 à 1200 mm/an – sensible au stress hydrique</t>
  </si>
  <si>
    <t>Tropical subhumide à tempéré chaud</t>
  </si>
  <si>
    <t>Septembre à avril en pluvial, toute l’année en irrigué</t>
  </si>
  <si>
    <t>10 000 à 15 000 plants/ha</t>
  </si>
  <si>
    <r>
      <t xml:space="preserve">Semence certifiée
</t>
    </r>
    <r>
      <rPr>
        <sz val="12"/>
        <color rgb="FFFF0000"/>
        <rFont val="Calibri"/>
        <family val="2"/>
      </rPr>
      <t>• Quantité de semence min (kg/ha) : 2 kg
 • Quantité de semence max (kg/ha) : 4 kg</t>
    </r>
    <r>
      <rPr>
        <sz val="12"/>
        <color theme="1"/>
        <rFont val="Calibri"/>
        <family val="2"/>
      </rPr>
      <t xml:space="preserve">
</t>
    </r>
  </si>
  <si>
    <t>Labour, planches surélevées ou buttes, ajout de fumure</t>
  </si>
  <si>
    <t>Sarclage, irrigation régulière, tuteurage léger, paillage</t>
  </si>
  <si>
    <t>Compost ou fumier : 10 à 15 T/ha</t>
  </si>
  <si>
    <t xml:space="preserve">• NPK: 200 à 300 kg/ha
 • Urée : 100 kg/ha à la floraison
 • Dolomie : 200 à 300 kg/ha si besoin
</t>
  </si>
  <si>
    <t xml:space="preserve">• Oïdium : poudre blanche sur feuilles – soufre mouillable, décoction de prêle
 • Mildiou : taches huileuses – bouillie bordelaise
 • Virus mosaïque : feuilles déformées – prévenir avec semences saines
</t>
  </si>
  <si>
    <t xml:space="preserve"> • Mouches des fruits : trous et pourriture – piégeage, traitement localisé
 • Pucerons : feuilles déformées – décoction de neem, savon noir
 • Araignées rouges : jaunissement – décoctions végétales (ail, oignon)
</t>
  </si>
  <si>
    <t>À partir de 40–45 jours après semis
Les fruits doivent être récoltés jeunes, tous les 2 à 3 jours, pendant 3 à 4 semaines. Un retard de récolte diminue la qualité.</t>
  </si>
  <si>
    <t xml:space="preserve">Capsicum annuum </t>
  </si>
  <si>
    <t xml:space="preserve">Capsicum frutescens </t>
  </si>
  <si>
    <r>
      <rPr>
        <sz val="12"/>
        <color rgb="FFFF0000"/>
        <rFont val="Calibri"/>
        <family val="2"/>
      </rPr>
      <t>P</t>
    </r>
    <r>
      <rPr>
        <sz val="12"/>
        <color rgb="FF000000"/>
        <rFont val="Calibri"/>
        <family val="2"/>
      </rPr>
      <t xml:space="preserve">ili pili, </t>
    </r>
    <r>
      <rPr>
        <sz val="12"/>
        <color rgb="FFFF0000"/>
        <rFont val="Calibri"/>
        <family val="2"/>
      </rPr>
      <t>Tsilanindimilahy</t>
    </r>
  </si>
  <si>
    <r>
      <t xml:space="preserve">Piment fort
</t>
    </r>
    <r>
      <rPr>
        <sz val="12"/>
        <color rgb="FFFF0000"/>
        <rFont val="Calibri"/>
        <family val="2"/>
      </rPr>
      <t>Sakay</t>
    </r>
  </si>
  <si>
    <t>Poivron</t>
  </si>
  <si>
    <t xml:space="preserve">
Poivron
Piment doux</t>
  </si>
  <si>
    <r>
      <rPr>
        <sz val="12"/>
        <color rgb="FFFF0000"/>
        <rFont val="Calibri"/>
        <family val="2"/>
      </rPr>
      <t>Piment</t>
    </r>
    <r>
      <rPr>
        <sz val="12"/>
        <color theme="1"/>
        <rFont val="Calibri"/>
        <family val="2"/>
      </rPr>
      <t xml:space="preserve">
Piment fort
</t>
    </r>
    <r>
      <rPr>
        <sz val="12"/>
        <color rgb="FFFF0000"/>
        <rFont val="Calibri"/>
        <family val="2"/>
      </rPr>
      <t>Sakay Tsilanindimilahy
Sakay Pili pili</t>
    </r>
  </si>
  <si>
    <t>Le poivron est une forme douce du piment cultivé pour ses fruits consommés frais, cuits ou transformés. Il est présent à Madagascar surtout dans les zones tempérées ou de moyenne altitude. Les variétés améliorées (California Wonder, Yolo Wonder) ont été introduites via les projets maraîchers et sont cultivées par les producteurs destinant leur production au marché urbain.</t>
  </si>
  <si>
    <t>800 à 1 500 m (zones tempérées)</t>
  </si>
  <si>
    <t>Profond, bien drainé, fertile, pH entre 5,5 et 7</t>
  </si>
  <si>
    <t>800 à 1 200 mm/an</t>
  </si>
  <si>
    <t>Il pousse bien en climat tropical chaud et subhumide, avec du soleil et une bonne aération</t>
  </si>
  <si>
    <t>• En général : septembre à janvier (début ou mi-saison des pluies)
 • Peut se faire toute l’année en irrigation ou sous abri</t>
  </si>
  <si>
    <t>• Espacement : 50 cm entre plants et 70 cm entre lignes
 • Densité : environ 28 000 à 30 000 plants/ha</t>
  </si>
  <si>
    <t>Semence certifiée
150 à 250 g/ha</t>
  </si>
  <si>
    <t>La récolte commence 90 à 120 jours apres le repiquage selon la variété et les conditions climatiques</t>
  </si>
  <si>
    <t>On fait un labour profond, suivi d’un apport de fumier ou compost (au moins 10 tonnes par hectare). On forme des planches ou des billons selon l’irrigation. Il faut désherber avant plantation.</t>
  </si>
  <si>
    <t xml:space="preserve"> faut faire un sarclage régulier, pailler si possible, et irriguer 2 à 3 fois par semaine selon le climat. On peut pratiquer un tuteurage pour éviter que les tiges cassent sous le poids des fruits.</t>
  </si>
  <si>
    <t xml:space="preserve">Fertilisation de fond (avant plantation) :
 Compost/fumier : 10 à 15 </t>
  </si>
  <si>
    <t>Fertilisation de fond (avant plantation) :
K2SO4 : 100 kg/ha
Fertilisation de couverture (fractionnée) :
 • NPK: 100 à 200 kg/ha en 2 apports
 • 1er apport : 15 jours après repiquage
 • 2e apport : au début de la floraison</t>
  </si>
  <si>
    <t xml:space="preserve">• Arrosage régulier, surtout en période sèche
 • Tuteurage pour certaines variétés à gros fruits
 • Désherbage fréquent
 • Paillage recommandé pour limiter l’évaporation
 • Élimination des gourmands si besoin
</t>
  </si>
  <si>
    <t>• Mildiou : taches jaunes puis brunes, humidité élevée
 • Oïdium : feutrage blanc sur les feuilles
 • Bactériose (Xanthomonas campestris) : nécroses foliaires
 • Pourriture grise (Botrytis) : attaque des fruits</t>
  </si>
  <si>
    <t>• Pucerons, aleurodes, thrips : déformation des feuilles, transmission de virus
 • Chenilles foreuses (Helicoverpa) : perforations des fruits
 • Nématodes à galles (Meloidogyne) : affaiblissement du système racinaire
Lutte intégrée :
 • Rotation culturale
 • Pulvérisation d’extraits naturels (neem, ail, tabac)
 • Utilisation de filets anti-insectes
 • Traitements ciblés en cas de forte infestation (savon insecticide, cuivre, biofongicides)</t>
  </si>
  <si>
    <t>Le piment est une plante originaire d’Amérique du Sud. Il est largement cultivé à Madagascar pour sa consommation en frais, en sec, ou transformé (sauces, condiments). Il est très présent dans l’alimentation quotidienne malgache. Il peut être cultivé en saison sèche avec irrigation, ou pendant la saison des pluies si les maladies sont bien maîtrisées.</t>
  </si>
  <si>
    <t>entre 0 et 1800 mètres d’altitude</t>
  </si>
  <si>
    <t>sol léger, bien drainé, sablo-limoneux, avec un pH de 6 à 7. Il n’aime pas les sols trop argileux, mal drainés, ni les sols acides</t>
  </si>
  <si>
    <t>La température idéale est de 22 à 30°C. En dessous de 18°C, la croissance ralentit. Au-dessus de 35°C, la floraison est affectée.</t>
  </si>
  <si>
    <t>Le piment a besoin de 600 à 1000 mm de pluie par an. Il supporte des périodes sèches modérées, mais a besoin d’arrosages réguliers pour bien fructifier</t>
  </si>
  <si>
    <t>Température idéale : 18 à 28 °C</t>
  </si>
  <si>
    <t xml:space="preserve">• Début des pluies (octobre à janvier), ou toute l’année en irrigation
 • Semis en pépinière, repiquage à 4–6 semaines (plante de 10–15 cm)
</t>
  </si>
  <si>
    <t>• Espacement : 40 cm entre plants et 70 cm entre lignes
 • Densité : environ 35 000 à 40 000 plants/ha</t>
  </si>
  <si>
    <t>Graines extraites de fruits mûrs 
300 à 500 g/ha</t>
  </si>
  <si>
    <t>• Début : 90 jours après repiquage
 • Récolte manuelle : tous les 5 à 7 jours
 • Cueillir les fruits rouges matures, couper à la base du pédoncule
 • Les fruits peuvent être consommés frais ou sécher à l’ombre pour la conservation</t>
  </si>
  <si>
    <t>Fertilisation de fond (avant plantation) :
K2SO4 : 100 kg/ha
Fertilisation de couverture (fractionnée) :
 • NPK: 100 à 150 kg/ha en 2 apports
 • 1er apport : 15 jours après repiquage
 • 2e apport : au début de la floraison</t>
  </si>
  <si>
    <t>Le piment est cultivé dans toutes les régions. Les grandes zones de production sont Vakinankaratra, Itasy, Analamanga, Atsinanana, Haute Matsiatra et Menabe. Il est vendu localement, mais aussi exporté vers La Réunion ou utilisé pour la transformation (sauces, condiments).</t>
  </si>
  <si>
    <r>
      <rPr>
        <sz val="12"/>
        <color rgb="FFFF0000"/>
        <rFont val="Calibri"/>
        <family val="2"/>
      </rPr>
      <t>Ananas</t>
    </r>
    <r>
      <rPr>
        <sz val="12"/>
        <color theme="1"/>
        <rFont val="Calibri"/>
        <family val="2"/>
      </rPr>
      <t xml:space="preserve">
Mananasy</t>
    </r>
  </si>
  <si>
    <r>
      <t>L'ananas (Ananas comosus) est une plante herbacée pérenne de la famille des Broméliacées, qui peut produire de nombreux fruits.</t>
    </r>
    <r>
      <rPr>
        <sz val="12"/>
        <color rgb="FFFF0000"/>
        <rFont val="Calibri"/>
        <family val="2"/>
      </rPr>
      <t>C' est une plante vivace originaire d’Amérique tropicale. Introduit depuis plusieurs siècles à Madagascar, il est aujourd’hui cultivé dans presque toutes les régions chaudes et humides.La variété Queen est une variété rustique, fruits petits mais très sucrés. Très cultivée dans l’Est et le Sud-Est.</t>
    </r>
  </si>
  <si>
    <r>
      <t>L'ananas (Ananas comosus) est une plante herbacée pérenne de la famille des Broméliacées, qui peut produire de nombreux fruits.</t>
    </r>
    <r>
      <rPr>
        <sz val="12"/>
        <color rgb="FFFF0000"/>
        <rFont val="Calibri"/>
        <family val="2"/>
      </rPr>
      <t>C' est une plante vivace originaire d’Amérique tropicale. Introduit depuis plusieurs siècles à Madagascar, il est aujourd’hui cultivé dans presque toutes les régions chaudes et humides. Lavariété Cayenne lisse : gros fruit, moins sucré, utilisé pour la transformation (jus, conserve)</t>
    </r>
  </si>
  <si>
    <t>L’ananas pousse bien du niveau de la mer jusqu’à 1 200 mètres d’altitude, mais il préfère les zones en dessous de 800 m.</t>
  </si>
  <si>
    <t>Il préfère les sols légers, sableux ou sablo-argileux, bien drainés. Le sol doit être riche en matière organique, avec un pH entre 4,5 et 6,5. Il n’aime pas les sols lourds et argileux.</t>
  </si>
  <si>
    <r>
      <t xml:space="preserve">Pérenne
</t>
    </r>
    <r>
      <rPr>
        <sz val="12"/>
        <color rgb="FFFF0000"/>
        <rFont val="Calibri"/>
        <family val="2"/>
      </rPr>
      <t>mais souvent conduite en cycle de 18 à 24 mois</t>
    </r>
  </si>
  <si>
    <t>Il a besoin d’environ 1 000 à 1 500 mm de pluie par an, bien répartis. Il supporte la sécheresse temporaire, mais une irrigation peut améliorer la production</t>
  </si>
  <si>
    <t>L’ananas préfère un climat tropical chaud et humide. Il aime le soleil, mais il est sensible aux inondations.</t>
  </si>
  <si>
    <t>On plante en début de saison des pluies, surtout entre novembre et février</t>
  </si>
  <si>
    <t>La température optimale est entre 22 et 30°C. Il tolère jusqu’à 35°C mais pas les gels. En dessous de 15°C, la croissance ralentit.</t>
  </si>
  <si>
    <t>On plante entre 40 000 à 60 000 pieds par hectare, selon l’espacement. Les espacements courants sont de 80 cm entre les lignes et 30 cm entre les pieds</t>
  </si>
  <si>
    <t xml:space="preserve">On plante des rejets végétatifs appelés “jets” ou “rejets” (œilletons, couronnes, rejetons de base).
Il faut environ 40 000 à 60 000 rejets par hectare.
</t>
  </si>
  <si>
    <t>Œilletons</t>
  </si>
  <si>
    <t>La récolte commence 16 à 20 mois après plantation. Une seconde récolte (ratoon) est possible 12 mois plus tard, mais elle est moins productive. Les fruits doivent être récoltés à maturité physiologique pour éviter les pertes.</t>
  </si>
  <si>
    <t>Il faut désherber, labourer, aérer le sol. Si le terrain est en pente, on installe des cordons pierreux pour limiter l’érosion. Un paillage avec herbe sèche ou résidus est conseillé après plantation</t>
  </si>
  <si>
    <t xml:space="preserve">Il faut désherber régulièrement, surtout les 6 premiers mois. Le paillage est utile pour réduire les mauvaises herbes. L’arrosage est recommandé en période sèche. </t>
  </si>
  <si>
    <t>On incorpore du fumier bien décomposé ou du compost, à raison de 10 à 15 tonnes par hectare, surtout à la préparation du sol.</t>
  </si>
  <si>
    <t xml:space="preserve">On applique du NPK à raison de 300 à 500 kg par hectare, en 2 à 3 apports.
On peut ajouter un peu de urée 100 kg/ha au stade végétatif. Si le sol est acide, on ajoute 200 à 400 kg/ha de dolomie.
</t>
  </si>
  <si>
    <t xml:space="preserve">Le charançon de l’ananas attaque la base de la plante, provoquant le jaunissement. Il faut éliminer les rejets infestés et pratiquer la rotation.
Les cochenilles farineuses attaquent les racines et les feuilles : on peut les traiter avec de l’eau savonneuse ou des extraits de neem.
Les nématodes provoquent un nanisme : utiliser des rejets sains, éviter la monoculture.
</t>
  </si>
  <si>
    <t xml:space="preserve">Le flétrissement bactérien provoque un noircissement de la base : il faut arracher les plantes malades.
Le heart rot ou pourriture du cœur est causé par l’excès d’humidité : on évite l’arrosage excessif.
Les champignons (fusariose) attaquent les racines : la lutte repose sur la rotation et l’aération du sol.
</t>
  </si>
  <si>
    <t xml:space="preserve">Les grandes zones de production sont :
– Est : Toamasina, Brickaville
– Sud-Est : Farafangana, Vangaindrano
– Centre : Alaotra, Itasy, Analamanga (en petite surface)
La culture du mananasy est bien adaptée aux petits producteurs, mais elle est aussi utilisée pour l’agro-industrie (jus, export) dans certaines zones.
</t>
  </si>
  <si>
    <t>Solanum lycopersicum</t>
  </si>
  <si>
    <t>Tomate longue : Roma VF</t>
  </si>
  <si>
    <t>Moringa</t>
  </si>
  <si>
    <t>Tomate ronde: Mongal F1</t>
  </si>
  <si>
    <t>Tomate Mongal
Voatabia</t>
  </si>
  <si>
    <t>Tomate ronde
Tomate Mongal
Voatabia</t>
  </si>
  <si>
    <t>Tomate Roma
Voatabia</t>
  </si>
  <si>
    <r>
      <t>La tomate est cultivée pour ses fruits qui sont très recherchés, elle joue un rôle important dans l'alimentation et utilisée dans des grands nombres de préparations culinaires, la tomate est originaire des régions montagneuses de l'Amérique du Sud (Pérou, Bolivie, Équateur),</t>
    </r>
    <r>
      <rPr>
        <sz val="12"/>
        <color rgb="FFFF0000"/>
        <rFont val="Calibri"/>
        <family val="2"/>
      </rPr>
      <t xml:space="preserve"> Mongal F1 est une variété hybride à fruits ronds, introduite pour répondre à la demande croissante des marchés urbains. Très présente dans les zones maraîchères de Madagascar depuis les années 2010, elle est reconnue pour sa vigueur, sa tolérance aux maladies et sa production élevée.</t>
    </r>
  </si>
  <si>
    <t>800 à 1 500 m</t>
  </si>
  <si>
    <r>
      <t xml:space="preserve">Sols profonds, frais mais humide, riche en humus et matières fertilisantes, légers et légèrement acides, </t>
    </r>
    <r>
      <rPr>
        <sz val="12"/>
        <color rgb="FFFF0000"/>
        <rFont val="Calibri"/>
        <family val="2"/>
      </rPr>
      <t>pH 5,5 à 7</t>
    </r>
  </si>
  <si>
    <r>
      <t xml:space="preserve">Climat tropical d'altitude, </t>
    </r>
    <r>
      <rPr>
        <sz val="12"/>
        <color rgb="FFFF0000"/>
        <rFont val="Calibri"/>
        <family val="2"/>
      </rPr>
      <t>Elle aime un climat chaud, ensoleillé, modérément humide. Trop d’humidité favorise le mildiou</t>
    </r>
    <r>
      <rPr>
        <sz val="12"/>
        <color theme="1"/>
        <rFont val="Calibri"/>
        <family val="2"/>
      </rPr>
      <t xml:space="preserve">.
</t>
    </r>
  </si>
  <si>
    <t xml:space="preserve">• Espacement : 50 cm x 70 cm
 • Densité : 28 000 à 30 000 plants/ha
</t>
  </si>
  <si>
    <t>graines</t>
  </si>
  <si>
    <r>
      <t xml:space="preserve">Semences sélectionnées, </t>
    </r>
    <r>
      <rPr>
        <sz val="12"/>
        <color rgb="FFFF0000"/>
        <rFont val="Calibri"/>
        <family val="2"/>
      </rPr>
      <t>Quantité : 150 à 200 g/ha</t>
    </r>
  </si>
  <si>
    <t xml:space="preserve">Semis en pépinière
 • Octobre à mars en saison pluvieuse
 • Toute l’année sous irrigation maîtrisée
</t>
  </si>
  <si>
    <t>Fumier : 10 à 15 t/ha</t>
  </si>
  <si>
    <t xml:space="preserve">• Potasse (KCl ou K₂SO₄) : 100 à 150 kg/ha
 • NPK : 150 à 200 kg/ha en 2 apports
</t>
  </si>
  <si>
    <t>Tomate longue
Tomate Roma
Tomate pour sauce
Voatabia</t>
  </si>
  <si>
    <r>
      <t xml:space="preserve">La tomate est cultivée pour ses fruits qui sont très recherchés, elle joue un rôle important dans l'alimentation et utilisée dans des grands nombres de préparations culinaires, la tomate est originaire des régions montagneuses de l'Amérique du Sud (Pérou, Bolivie, Équateur), </t>
    </r>
    <r>
      <rPr>
        <sz val="12"/>
        <color rgb="FFFF0000"/>
        <rFont val="Calibri"/>
        <family val="2"/>
      </rPr>
      <t>La variété Roma VF est une tomate de type prune (ovale), connue pour sa chair ferme et sa tenue à la cuisson. Elle est utilisée en transformation artisanale (sauce, séchage). “VF” signifie résistante à Verticillium et Fusarium.</t>
    </r>
  </si>
  <si>
    <t>0 à 1 500 m</t>
  </si>
  <si>
    <t>700 à 1 200 mm/an</t>
  </si>
  <si>
    <r>
      <t xml:space="preserve">Semences sélectionnées, </t>
    </r>
    <r>
      <rPr>
        <sz val="12"/>
        <color rgb="FFFF0000"/>
        <rFont val="Calibri"/>
        <family val="2"/>
      </rPr>
      <t>Quantité : 200 à 300 g/ha</t>
    </r>
  </si>
  <si>
    <t xml:space="preserve">Semis en pépinière
  • Idéalement en saison sèche (avril à septembre)
 • Semis possible toute l’année sous irrigation
</t>
  </si>
  <si>
    <t xml:space="preserve">• Premiers fruits : 70 à 90 jours après repiquage
 • Récolte échelonnée sur 1 à 2 mois
 • Cueillir à maturité rouge ou semi-mature pour transport
</t>
  </si>
  <si>
    <t xml:space="preserve"> • Récolte 70 à 90 jours après repiquage
 • Cueillir bien rouge pour transformation
 • Très bonne aptitude à la conservation post-récolte
</t>
  </si>
  <si>
    <t>Fumier : 10 t/ha</t>
  </si>
  <si>
    <t xml:space="preserve">Il faut labourer profondément, bien niveler le terrain, former des planches de culture surélevées si besoin.
Avant le repiquage, on incorpore du fumier ou compost mûr, puis on arrose abondamment après plantation.
</t>
  </si>
  <si>
    <t xml:space="preserve">Il faut désherber régulièrement, pailler si possible, et pratiquer le tuteurage pour les variétés à port indéterminé.
L’irrigation doit être régulière, surtout pendant la floraison et la fructification. Une taille des gourmands améliore la productivité.
</t>
  </si>
  <si>
    <r>
      <t>21 à 27°C,</t>
    </r>
    <r>
      <rPr>
        <sz val="12"/>
        <color rgb="FFFF0000"/>
        <rFont val="Calibri"/>
        <family val="2"/>
      </rPr>
      <t xml:space="preserve"> En dessous de 15°C ou au-dessus de 35°C, la floraison est affectée.</t>
    </r>
  </si>
  <si>
    <t>Température optimale : 20 à 28°C,  En dessous de 15°C ou au-dessus de 35°C, la floraison est affectée.</t>
  </si>
  <si>
    <t xml:space="preserve">Le mildiou est fréquent en saison des pluies : taches brunes sur feuilles, tiges, fruits. Lutte avec bouillie bordelaise.
L’oïdium forme une poudre blanche : traitement au soufre.
Le flétrissement bactérien provoque un dessèchement rapide. Rotation culturale, semences saines, et arrachage des plants malades sont essentiels.
Les virus mosaïques déforment les feuilles : pas de traitement direct.
</t>
  </si>
  <si>
    <t xml:space="preserve">Les aleurodes (mouche blanche) provoquent le jaunissement du feuillage. Les pucerons transmettent des virus.
Les chenilles mineuses percent les feuilles.
La mineuse de la tomate (Tuta absoluta) est un ravageur majeur : elle détruit les feuilles et les fruits. On utilise des filets, pièges à phéromones, décoctions de neem, ou biopesticides.
</t>
  </si>
  <si>
    <t xml:space="preserve">Les grandes zones de production sont :
– Analamanga (Anjozorobe, Talata Volonondry)
– Itasy
– Vakinankaratra
– Atsinanana
– Haute Matsiatra
– Betsiboka
</t>
  </si>
  <si>
    <t>Annona muricata</t>
  </si>
  <si>
    <t>Il n'existe pas encore de variétés de corossol officiellement enregistrées</t>
  </si>
  <si>
    <t>Originaire des Antilles et d’Amérique tropicale, le corossolier a été introduit dans les régions chaudes de Madagascar. C’est un arbre fruitier tropical à croissance rapide, apprécié pour ses fruits à pulpe blanche, acide et parfumée. Il est consommé frais, en jus ou transformé (sorbet, confiture, etc.). Il suscite également un intérêt pour ses propriétés médicinales</t>
  </si>
  <si>
    <t>Le corossol pousse bien entre 0 et 1000 mètres d’altitude, mais il est mieux adapté aux zones inférieures à 600 m.</t>
  </si>
  <si>
    <r>
      <t xml:space="preserve">Pérenne
</t>
    </r>
    <r>
      <rPr>
        <sz val="12"/>
        <color rgb="FFFF0000"/>
        <rFont val="Calibri"/>
        <family val="2"/>
      </rPr>
      <t>Il peut produire pendant 15 à 20 ans, mais les rendements diminuent après 10 ans.</t>
    </r>
  </si>
  <si>
    <r>
      <t xml:space="preserve">Température idéale : </t>
    </r>
    <r>
      <rPr>
        <sz val="12"/>
        <rFont val="Calibri"/>
        <family val="2"/>
      </rPr>
      <t>25 à 30°C. I</t>
    </r>
    <r>
      <rPr>
        <sz val="12"/>
        <color rgb="FFFF0000"/>
        <rFont val="Calibri"/>
        <family val="2"/>
      </rPr>
      <t>l ne tolère pas les températures inférieures à 10°C. Les jeunes plants sont très sensibles au froid.</t>
    </r>
  </si>
  <si>
    <t>Il a besoin de 1000 à 1500 mm de pluie bien répartie. En saison sèche prolongée, il faut irriguer, surtout au stade de floraison et de grossissement des fruits.</t>
  </si>
  <si>
    <t>Le corossol est adapté aux zones tropicales humides et subhumides. Il aime l’exposition ensoleillée et les climats chauds. Le vent fort peut casser les branches.</t>
  </si>
  <si>
    <r>
      <t>Toute l'année, mais idéalement en saison des pluies: :</t>
    </r>
    <r>
      <rPr>
        <sz val="12"/>
        <color rgb="FFFF0000"/>
        <rFont val="Calibri"/>
        <family val="2"/>
      </rPr>
      <t xml:space="preserve"> octobre à décembre.</t>
    </r>
  </si>
  <si>
    <t xml:space="preserve">On plante des plants issus de graines ou greffés. La multiplication par graines est la plus courante, mais les greffes donnent des plants plus homogènes et plus précoces.
Il faut 400 à 600 plants/ha, soit 400 à 600 graines germées, en pépinière pendant 3 mois.
</t>
  </si>
  <si>
    <t xml:space="preserve">On plante des plants issus de graines ou greffés. </t>
  </si>
  <si>
    <t>Les fruits mûrissent 4 à 5 mois après la floraison. On peut récolter 1 à 3 fois par an, selon la zone. Le fruit doit être récolté à maturité physiologique (vert clair, pointes espacées), car il mûrit ensuite hors de l’arbre.</t>
  </si>
  <si>
    <t>Il faut débroussailler, labourer et creuser des trous de 50 x 50 x 50 cm, enrichis avec fumier composté (5 kg par trou). Le paillage est fortement conseillé pour conserver l’humidité.</t>
  </si>
  <si>
    <t xml:space="preserve">Désherbage manuel ou mécanique autour des plants.
Paillage avec paille, herbe sèche ou feuilles.
Taille de formation et éclaircie annuelle pour éviter l’enchevêtrement.
Arrosage en saison sèche si nécessaire. Protection contre le vent.
</t>
  </si>
  <si>
    <t>Utiliser du fumier de bovin ou compost bien mûr, à raison de 5 à 10 kg par pied et par an, soit entre 2 et 5 t/ha</t>
  </si>
  <si>
    <t xml:space="preserve">On peut apporter du NPK à raison de 200 à 300 g par pied, en 2 apports annuels.
Ajouter un peu de dolomie en sol acide (200 kg/ha).
</t>
  </si>
  <si>
    <t xml:space="preserve">– Charançon du fruit : trou sur le fruit, pourriture. Ramassage et destruction des fruits infestés.
– Cochenilles : amas blancs sur les tiges. Lutte avec savon noir ou extraits de neem.
– Chenilles défoliatrices : mangent les feuilles. On peut les ramasser manuellement ou utiliser des extraits végétaux.
</t>
  </si>
  <si>
    <t xml:space="preserve">– Anthracnose : taches noires sur fruits et feuilles. Lutte avec bouillie bordelaise.
– Fusariose : flétrissement des jeunes plants. Rotation culturale, sol bien drainé.
– Pourriture des racines : due à l’excès d’eau. Bien drainer le sol.
</t>
  </si>
  <si>
    <t xml:space="preserve">Le corossol est cultivé dans les régions côtières chaudes :
– Est : Toamasina, Brickaville, Marolambo
– Nord : Diana (Ambanja, Nosy Be)
– Sud-Est : Farafangana, Manakara
Il est vendu sur les marchés locaux, utilisé dans les jus artisanaux, et parfois exporté. La demande en produits naturels et en santé naturelle augmente son intérêt économique.
</t>
  </si>
  <si>
    <t>Manihot esculenta</t>
  </si>
  <si>
    <t>Manioc blanc</t>
  </si>
  <si>
    <r>
      <rPr>
        <sz val="12"/>
        <color rgb="FFFF0000"/>
        <rFont val="Calibri"/>
        <family val="2"/>
      </rPr>
      <t>Manioc</t>
    </r>
    <r>
      <rPr>
        <sz val="12"/>
        <color rgb="FF000000"/>
        <rFont val="Calibri"/>
        <family val="2"/>
      </rPr>
      <t xml:space="preserve">
Mangahazo</t>
    </r>
  </si>
  <si>
    <r>
      <t xml:space="preserve">Originaire d'Amérique du Sud (dans la région amazonienne) le manioc est une plante vivace tropicale caractérisée par une tige ligneuse dressée pouvant atteindre 2 à 3m de hauteur, des feuilles palmées à lobes profonds et alternes, ainsi que des racines tubéreuses allongées et charnues riches en amidon. Les racines constituent la partie comestible, ont une peau brune et rugueuse recouvrant une chair blanche, jaunâtre ou rosée.
</t>
    </r>
    <r>
      <rPr>
        <sz val="12"/>
        <color rgb="FFFF0000"/>
        <rFont val="Calibri"/>
        <family val="2"/>
      </rPr>
      <t xml:space="preserve">Il est un aliment de base dans plusieurs régions de Madagascar, surtout en période de soudure. On le consomme frais, sec, en farine ou transformé </t>
    </r>
  </si>
  <si>
    <t>Le manioc est une plante pérenne, mais conduite en culture annuelle ou bisannuelle selon les besoins.</t>
  </si>
  <si>
    <t>Il pousse entre 0 et 1500 mètres d’altitude, mais il préfère les zones de 0 à 1000 mètres</t>
  </si>
  <si>
    <t>Le manioc s’adapte à tous types de sols sauf les sols gorgés d’eau. Il préfère les sols légers, sablo-limoneux, bien drainés, pauvres à moyens, avec un pH entre 5,5 et 7.</t>
  </si>
  <si>
    <t>Température optimale : 25 à 30°C. Il tolère des températures plus élevées, mais le froid ralentit la croissance.</t>
  </si>
  <si>
    <t>Le manioc résiste bien à la sécheresse. Il pousse avec 500 à 1000 mm de pluie par an. L’excès d’eau nuit à la qualité des tubercules.</t>
  </si>
  <si>
    <t>Il est adapté aux climats tropicaux chauds et subhumides. Il supporte des périodes sèches prolongées.</t>
  </si>
  <si>
    <t>La plantation se fait en début de saison des pluies : novembre à janvier. En zone irriguée ou humide, on peut planter de septembre à mars.r</t>
  </si>
  <si>
    <t>En moyenne, on plante 10 000 à 12 500 boutures par hectare, soit un espacement de 1 m x 1 m ou 0,8 m x 1 m selon la variété.</t>
  </si>
  <si>
    <t>Boutures</t>
  </si>
  <si>
    <r>
      <t xml:space="preserve">Boutures. </t>
    </r>
    <r>
      <rPr>
        <u/>
        <sz val="12"/>
        <color rgb="FF000000"/>
        <rFont val="Calibri"/>
        <family val="2"/>
      </rPr>
      <t>Préparation:</t>
    </r>
    <r>
      <rPr>
        <sz val="12"/>
        <color rgb="FF000000"/>
        <rFont val="Calibri"/>
        <family val="2"/>
      </rPr>
      <t xml:space="preserve"> les boutures sont à prélevées pendant la phase du repos sur des plants sains, 2 à 3cm de diamètre. Les couper en biseau, avec 4 à 6 nœuds de longueur 20-25cm. Faire les boutures juste avant la plantation. </t>
    </r>
    <r>
      <rPr>
        <u/>
        <sz val="12"/>
        <color rgb="FF000000"/>
        <rFont val="Calibri"/>
        <family val="2"/>
      </rPr>
      <t>Position des boutures:</t>
    </r>
    <r>
      <rPr>
        <sz val="12"/>
        <color rgb="FF000000"/>
        <rFont val="Calibri"/>
        <family val="2"/>
      </rPr>
      <t xml:space="preserve"> enfoncées verticalement ou en position inclinée en laissant 2 à 3 yeux, boutures à plat sous 4 à 5 cm de terre. 
</t>
    </r>
    <r>
      <rPr>
        <sz val="12"/>
        <color rgb="FFFF0000"/>
        <rFont val="Calibri"/>
        <family val="2"/>
      </rPr>
      <t>Il faut 10 000 à 12 500 boutures/ha, soit environ 1 200 à 1 500 kg de tiges/ha.</t>
    </r>
    <r>
      <rPr>
        <sz val="12"/>
        <color rgb="FF000000"/>
        <rFont val="Calibri"/>
        <family val="2"/>
      </rPr>
      <t xml:space="preserve">
</t>
    </r>
  </si>
  <si>
    <t xml:space="preserve">Cycle court : 8 à 10 mois, surtout pour les variétés douces.
Cycle long : 12 à 18 mois, utilisé pour les variétés amères ou en culture associée.
La récolte se fait à la main, en déracinant les plants. Les tubercules doivent être transformés ou consommés rapidement après la récolte
</t>
  </si>
  <si>
    <t>On débroussaille, puis on laboure légèrement. On ouvre des sillons ou des trous, puis on plante les boutures verticalement ou inclinées. En terrain pentu, on recommande la culture en billons pour éviter l’érosion.</t>
  </si>
  <si>
    <t>Désherbage 2 à 3 fois pendant les 3 premiers mois. Un buttage léger est conseillé pour éviter le développement des racines à l’air libre. Peu d’entretien est nécessaire après 5 mois. Pas besoin d’irrigation.</t>
  </si>
  <si>
    <t>Apport de fumier composté à la plantation, environ 5 à 10 tonnes/ha selon la richesse du sol.</t>
  </si>
  <si>
    <t xml:space="preserve">Le manioc pousse sans engrais chimique, mais pour augmenter les rendements :
– Apporter NPK 100 à 200 kg/ha
– Apporter Dolomie : 300 kg/ha en cas de sol acide
</t>
  </si>
  <si>
    <t xml:space="preserve">– Cochenilles : poudre blanche sur les tiges, affaiblissement des plants. Lutte : traitement au savon noir, sélection de plants sains.
– Foreurs de tige : trous dans les tiges. Lutte manuelle, rotation culturale.
– Termites : attaques en sol très sec. Lutte préventive par paillage ou traitement du sol.
</t>
  </si>
  <si>
    <t xml:space="preserve">– Bactériose : taches noires sur les tiges. Éviter les boutures infectées.
– Mosaïque virale du manioc : déformations foliaires. Utiliser des variétés résistantes.
– Pourriture des racines : sol mal drainé. Lutte : bon drainage et espacement correct.
</t>
  </si>
  <si>
    <t xml:space="preserve">Le manioc est cultivé dans presque toutes les régions, particulièrement en :
– Sud : Androy, Anosy, Atsimo Andrefana (culture de survie)
– Est : Atsinanana, Analanjirofo
– Ouest et Nord : Boeny, Sofia, Diana
C’est une culture stratégique pour la sécurité alimentaire, notamment dans les zones de sécheresse et en période de soudure.
</t>
  </si>
  <si>
    <t>Salvia</t>
  </si>
  <si>
    <t xml:space="preserve">Salvia rosmarinus </t>
  </si>
  <si>
    <t xml:space="preserve">Romarin commun </t>
  </si>
  <si>
    <t xml:space="preserve">Romarin </t>
  </si>
  <si>
    <t>Le romarin est une plante aromatique originaire du bassin méditerranéen. Il est arrivé à Madagascar avec les colons ou les missionnaires. Il est maintenant cultivé dans plusieurs régions pour ses feuilles riches en huile essentielle, utilisées en cuisine, en médecine traditionnelle, et en cosmétique.</t>
  </si>
  <si>
    <t>Le romarin pousse bien entre 0 et 1 500 mètres d’altitude. Il préfère les zones légèrement en hauteur, bien drainées.</t>
  </si>
  <si>
    <t xml:space="preserve">Il aime les sols légers, bien drainés, sableux ou caillouteux. Il ne supporte pas les sols lourds ou argileux, ni les zones inondées.. </t>
  </si>
  <si>
    <t>Le romarin aime la chaleur. Il pousse bien entre 20 et 30°C. Il peut supporter des températures plus élevées, mais pas de gel.</t>
  </si>
  <si>
    <t>Le romarin n’a pas besoin de beaucoup d’eau. Il pousse bien avec 500 à 800 mm de pluie par an. Un excès d’eau peut faire pourrir les racines.</t>
  </si>
  <si>
    <t>Il préfère les climats secs, ensoleillés, et ventilés. Il supporte bien la sécheresse.</t>
  </si>
  <si>
    <t>On le plante en début de saison sèche, ou après les grandes pluies, pour éviter l’excès d’humidité au démarrage. À Madagascar, cela peut être vers avril-mai ou septembre-octobre selon les régions.</t>
  </si>
  <si>
    <t>On plante 2 500 à 5 000 plants par hectare, en espaçant les plants de 0,5 à 1 mètre en tous sens.</t>
  </si>
  <si>
    <t xml:space="preserve">Il s’agit de boutures .
Il faut environ 5 000 à 10 000 boutures par hectare.
</t>
  </si>
  <si>
    <t>On récolte les feuilles et les tiges tendres. La première coupe se fait environ 3 à 4 mois après plantation, puis tous les 3 à 6 mois selon la croissance.</t>
  </si>
  <si>
    <t>Il faut un sol bien travaillé, ameubli, avec des planches surélevées si nécessaire pour le drainage. Éviter les zones gorgées d’eau.</t>
  </si>
  <si>
    <t>Le désherbage est important au début. Ensuite, tailler les tiges régulièrement pour favoriser le développement des pousses. Paillage possible en zones sèches.</t>
  </si>
  <si>
    <t>Environ 5 à 10 tonnes par hectare.</t>
  </si>
  <si>
    <t>Peu exigeant, mais un apport de NPK à raison de 100 kg/ha peut stimuler la croissance. Un peu de dolomie 200 kg/ha si le sol est acide.</t>
  </si>
  <si>
    <t>Pourriture racinaire en cas d’excès d’eau. Feuilles noires ou molles. Planter en terrain bien drainé et espacé. Ne pas arroser excessivement.</t>
  </si>
  <si>
    <t>Peu de ravageurs, mais parfois des pucerons (tiges molles, feuilles enroulées). Utiliser des extraits naturels (neem, savon noir), ou couper les tiges infestées.</t>
  </si>
  <si>
    <t>Le romarin est cultivé à petite échelle dans les Hautes Terres, dans l’Atsinanana, l’Itasy et Vakinankaratra. Il est utilisé en phytothérapie, en agroalimentaire (épice) et dans la fabrication d’huiles essentielles. Il peut aussi être intégré dans des haies vivantes ou comme plante mellifère pour les abeilles. Le marché local est en croissance, et il existe une demande pour l’exportation en bio.</t>
  </si>
  <si>
    <t xml:space="preserve">Schinus terebenthifolius </t>
  </si>
  <si>
    <t xml:space="preserve">Baie rose de Madagascar </t>
  </si>
  <si>
    <t>Baie rose
Faux poivre
Voatsiperifert fotsy</t>
  </si>
  <si>
    <t>Originaire d’Amérique du Sud, la baie rose a été introduite à Madagascar à des fins ornementales. Elle s’est naturalisée dans plusieurs régions, notamment dans le Sud-Est et le Sud-Ouest. Aujourd’hui, c’est une culture à haute valeur ajoutée, utilisée comme épice dans la gastronomie et dans l’industrie agroalimentaire et cosmétique à l’exportation.</t>
  </si>
  <si>
    <t>Elle pousse bien entre 0 et 800 mètres d’altitude. Elle est adaptée aux zones côtières et basses altitudes.</t>
  </si>
  <si>
    <t>Elle préfère les sols légers, sablo-limoneux, bien drainés. Elle tolère des sols pauvres mais ne supporte pas les excès d’eau.</t>
  </si>
  <si>
    <t>La baie rose pousse bien entre 25 et 35°C. Elle est sensible au froid prolongé, mais résiste bien à la chaleur.</t>
  </si>
  <si>
    <t>Elle préfère une pluviométrie moyenne à forte : entre 800 et 1 500 mm/an. Elle supporte des périodes sèches mais pas les sols saturés en eau</t>
  </si>
  <si>
    <t>Elle aime les climats tropicaux et subhumides. Elle supporte la sécheresse mieux que les excès d’humidité. Le climat de la côte Sud-Est et du Sud-Ouest de Madagascar lui est favorable.</t>
  </si>
  <si>
    <t>La plantation des jeunes plants se fait en saison des pluies, entre décembre et février, pour assurer une bonne reprise.</t>
  </si>
  <si>
    <t xml:space="preserve">On plante 400 à 600 pieds par hectare, avec un espacement de 4 m × 4 m à 5 m × 5 m.         </t>
  </si>
  <si>
    <t xml:space="preserve">La propagation se fait surtout par semis ou repiquage de jeunes plants issus de graines ou de rejets. </t>
  </si>
  <si>
    <t>jeunes plants</t>
  </si>
  <si>
    <t>Les baies sont récoltées lorsqu’elles deviennent bien roses, à maturité. La récolte a lieu entre avril et août. Elle se fait à la main, parfois avec des perches. Les baies sont ensuite séchées à l’ombre ou au soleil.</t>
  </si>
  <si>
    <t>On nettoie la parcelle, on creuse des trous de 40 cm × 40 cm × 40 cm, qu’on remplit de terre fine mélangée à du compost. Le terrain doit être bien drainé.</t>
  </si>
  <si>
    <t>Désherbage manuel régulier les 2 premières années. Paillage conseillé pour conserver l’humidité. Taille d’entretien pour former les arbres et faciliter la récolte.</t>
  </si>
  <si>
    <t>Compost bien mûr ou fumier décomposé à raison de 5 à 10 kg par plant au moment de la plantation.</t>
  </si>
  <si>
    <t>Apports très limités. Un peu de NPK raison de 50 à 100 g/plant/an peut stimuler la croissance, mais ce n’est pas toujours nécessaire.</t>
  </si>
  <si>
    <t>Les jeunes plants peuvent être attaqués par des chenilles ou criquets. Les adultes sont assez résistants. Utiliser du neem ou des extraits de tabac en traitement naturel. Protéger les jeunes plants.</t>
  </si>
  <si>
    <t>Peu de maladies graves signalées. En cas de champignons sur les baies (moisissures noires), bien sécher les fruits. Éviter les zones humides. Bonne aération des arbres.</t>
  </si>
  <si>
    <t>Pelargonium graveolens</t>
  </si>
  <si>
    <t>Originaire d’Afrique australe, le géranium a été introduit à Madagascar par les colons français pour la production d’huile essentielle. Il est aujourd’hui cultivé principalement dans les Hautes Terres, pour la distillation artisanale ou industrielle. L’huile essentielle de géranium de Madagascar est appréciée à l’exportation pour sa qualité.</t>
  </si>
  <si>
    <t>Le géranium est une plante pérenne, mais on renouvelle souvent les plantations tous les 3 à 4 ans.</t>
  </si>
  <si>
    <t>Il pousse bien entre 1 000 et 1 500 mètres d’altitude. Il est adapté aux Hautes Terres Centrales.</t>
  </si>
  <si>
    <t>Le géranium préfère les sols légers, riches en matière organique, bien drainés, légèrement acides. Il n’aime pas les sols lourds ou compacts.</t>
  </si>
  <si>
    <t>Température idéale entre 18 et 25°C. Il n’aime pas les fortes chaleurs ni le gel. Les nuits fraîches améliorent la qualité de l’huile.</t>
  </si>
  <si>
    <t>Il faut 1 000 à 1 500 mm de pluie bien répartie dans l’année. Le géranium est sensible au stress hydrique, surtout en période de croissance active.</t>
  </si>
  <si>
    <t>Le géranium aime les climats tempérés des Hautes Terres, avec des alternances jour/nuit bien marquées. Trop d’humidité ou des températures trop élevées réduisent la qualité de l’huile.</t>
  </si>
  <si>
    <t>La mise en place des plants se fait en début de saison des pluies, entre novembre et janvier.</t>
  </si>
  <si>
    <t>On plante environ 20 000 à 30 000 pieds par hectare, avec un espacement de 50 à 70 cm entre les pieds.</t>
  </si>
  <si>
    <t xml:space="preserve">Ce sont des boutures (plantes).
Il faut environ 25 000 boutures par hectare.
</t>
  </si>
  <si>
    <t>On récolte les feuilles et tiges tendres avant floraison. Il y a 3 à 4 récoltes par an, selon la pluviométrie. La récolte se fait à la faucille, tôt le matin pour conserver les arômes.</t>
  </si>
  <si>
    <t>Le sol doit être bien travaillé, ameubli, enrichi en compost. On plante sur s billons ou planches surélevées en cas de zone humide.</t>
  </si>
  <si>
    <t>Le désherbage régulier est essentiel. Des tailles sont faites pour favoriser le développement des jeunes tiges. Des paillages peuvent aider à retenir l’humidité.</t>
  </si>
  <si>
    <t>On utilise du fumier bien décomposé ou du compost, à raison de 5 à 10 tonnes par hectare, avant plantation puis après chaque récolte.</t>
  </si>
  <si>
    <t>Une fumure de fond avec NPK à raison de 200 à 300 kg/ha.La dolomie est ajoutée si le sol est trop acide.</t>
  </si>
  <si>
    <t>Botrytis ou pourriture grise en cas d’humidité : présence de moisissures sur les tiges. Mildiou en cas de fortes pluies. Éviter l’arrosage excessif, assurer une bonne aération des plantations.</t>
  </si>
  <si>
    <t>Les principaux ravageurs sont les altises et chenilles : trous dans les feuilles, jaunissement. Lutte avec extraits naturels (neem, tabac). Préférer les traitements biologiques pour préserver la qualité de l’huile.</t>
  </si>
  <si>
    <t xml:space="preserve">Le prix de vente concerne surtout l’huile essentielle : entre 300 000 et 600 000 Ariary par litre selon qualité et certification (bio, commerce équitable). Le marché international peut atteindre 60 à 80 euros/litre. La matière verte est rarement commercialisée seule.
Le géranium est cultivé principalement dans les régions d’Amoron’i Mania, Vakinankaratra, Haute Matsiatra et Analamanga. Il représente une filière à fort potentiel d’exportation, avec une demande soutenue sur les marchés européens. Des coopératives et des opérateurs privés accompagnent les producteurs pour la distillation, le tri et la certification. L’exportation se fait surtout sous forme d’huile essentielle. La qualité du géranium malgache est reconnue, surtout le type Bourbon. La distillation artisanale reste présente mais tend à être améliorée pour respecter les normes d’export.
</t>
  </si>
  <si>
    <t>pelargonium</t>
  </si>
  <si>
    <t>Thym</t>
  </si>
  <si>
    <r>
      <t xml:space="preserve">Le thym est Originaire du sud de l'Europe. Plante aromatique aux multiples propriétés, le thym est répandu sur les rocailles du sud de la France. C'est une vivace connue pour son parfum caractéristique, son goût typé et ses petites feuilles couvertes de minuscules fleurs blanches ou roses.
</t>
    </r>
    <r>
      <rPr>
        <sz val="12"/>
        <color rgb="FFFF0000"/>
        <rFont val="Calibri"/>
        <family val="2"/>
      </rPr>
      <t>Le thym a été introduit à Madagascar pour des usages culinaires, médicinaux et pour la distillation d’huile essentielle. Il est surtout cultivé en petite échelle dans les Hautes Terres et zones sèches. Il est reconnu pour ses propriétés antiseptiques, expectorantes, et antioxydantes.</t>
    </r>
  </si>
  <si>
    <t>Le thym est une plante pérenne. Il peut rester productif pendant 3 à 5 ans, mais la qualité baisse avec l’âge.</t>
  </si>
  <si>
    <t>Le thym pousse bien entre 800 et 1 500 mètres d’altitude. Il est adapté aux zones tempérées et ensoleillées.</t>
  </si>
  <si>
    <t>Il préfère les sols légers, bien drainés, calcaires ou sableux, peu riches mais bien structurés. Il ne supporte pas les sols lourds, trop humides ou mal drainés.</t>
  </si>
  <si>
    <t>Il pousse bien entre 18 et 28°C. Il supporte les nuits fraîches et les sécheresses, mais n’aime pas les températures trop élevées ni les fortes pluies.</t>
  </si>
  <si>
    <t>Le thym est une plante peu gourmande en eau. Il se développe bien avec 400 à 800 mm de pluie par an. Il ne tolère pas les excès d’eau.</t>
  </si>
  <si>
    <t>Il aime les climats secs et ensoleillés. Il ne supporte pas l’humidité prolongée. Un climat méditerranéen ou des Hautes Terres malgaches lui est favorable.</t>
  </si>
  <si>
    <t xml:space="preserve">On plante entre 30 000 et 50 000 pieds par hectare, avec un espacement de 30 à 40 cm entre les plants.
</t>
  </si>
  <si>
    <t>Le thym peut être semé ou multiplié par bouturage. Le bouturage est plus fréquent pour conserver les caractéristiques aromatiques. Pour un hectare, il faut prévoir environ 35 000 à 50 000 boutures.</t>
  </si>
  <si>
    <t>On récolte les parties aériennes (tiges et feuilles) avant la floraison complète, quand les huiles essentielles sont les plus concentrées. La coupe se fait manuellement ou avec des cisailles. La récolte peut se faire 2 à 3 fois par an.</t>
  </si>
  <si>
    <t>Le terrain est bien labouré, puis nivelé. On applique du compost ou fumier avant la plantation. Des planches surélevées sont recommandées en zone humide.</t>
  </si>
  <si>
    <t>Désherbage fréquent, surtout au début. Taille régulière pour stimuler la ramification. Éviter les stagnations d’eau. Paillage conseillé pour retenir l’humidité.</t>
  </si>
  <si>
    <t>Compost ou fumier bien décomposé à raison de 5 à 8 tonnes/ha, apporté en fumure de fond.</t>
  </si>
  <si>
    <t>Un apport léger de NPK à 100-150 kg/ha est suffisant. Dolomie si le sol est acide (200 kg/ha). Éviter les excès d’azote qui diminuent la qualité des huiles.</t>
  </si>
  <si>
    <t>Pourriture racinaire ou botrytis en cas d’humidité excessive. Jaunissement des feuilles et pourrissement de la base. Prévenir avec un bon drainage et espacement.</t>
  </si>
  <si>
    <t>Pucerons, acariens : feuilles déformées ou collantes. Utiliser savon noir ou purin de neem. Les attaques sont rares si la culture est bien aérée et en climat sec.</t>
  </si>
  <si>
    <t>À Madagascar, le thym est encore peu cultivé à grande échelle. On le trouve dans certaines zones des Hautes Terres comme Itasy, Analamanga, Vakinankaratra, où les conditions sont favorables. Il est utilisé en cuisine, en médecine traditionnelle, en tisane et pour la distillation artisanale ou industrielle. La demande locale est modeste mais stable, et l’exportation en bio ou équitable offre des opportunités à haute valeur ajoutée. Des ONG appuient déjà des groupements de producteurs.</t>
  </si>
  <si>
    <t>Fragaria × ananassa</t>
  </si>
  <si>
    <r>
      <t xml:space="preserve">La fraise est un petit fruit qui, à l'origine, se trouvait à l'état sauvage dans les bois ou en montagne. Cette fraise, de la grosseur d'un gros bleuet, porte encore à ce jour le nom de fraise des bois (ou fraise sauvage) et est reconnue pour son goût particulièrement parfumé. </t>
    </r>
    <r>
      <rPr>
        <sz val="12"/>
        <color rgb="FFFF0000"/>
        <rFont val="Calibri"/>
        <family val="2"/>
      </rPr>
      <t>La culture de la fraise a été introduite à Madagascar par des missionnaires et colons dans les Hautes Terres. Elle est aujourd’hui bien implantée dans les régions d’Antsirabe, Faratsiho, Manandona, Ambatolampy et autour d’Antananarivo. Elle est cultivée pour la consommation locale et la transformation (confiture, jus, sirop).</t>
    </r>
  </si>
  <si>
    <t>Camarosa</t>
  </si>
  <si>
    <r>
      <t xml:space="preserve">Fraise 
</t>
    </r>
    <r>
      <rPr>
        <sz val="12"/>
        <color rgb="FFFF0000"/>
        <rFont val="Calibri"/>
        <family val="2"/>
      </rPr>
      <t>Frezy</t>
    </r>
  </si>
  <si>
    <t>La fraise est une vivace, mais elle est cultivée comme plante annuelle ou bisannuelle dans la plupart des cas, à cause de la baisse de productivité au bout de 2 ans.</t>
  </si>
  <si>
    <t>1Elle pousse bien entre 1 200 et 1 800 mètres d’altitude, zones typiques des Hautes Terres.</t>
  </si>
  <si>
    <t xml:space="preserve">La fraise préfère un sol léger, sablo-limoneux, riche en matière organique, bien drainé et légèrement acide (pH entre 5,5 et 6,5). Elle n’aime pas les sols trop argileux ou compacts. </t>
  </si>
  <si>
    <t>Elle pousse bien entre 15 et 25°C. Elle a besoin de nuits fraîches et d’un bon ensoleillement.</t>
  </si>
  <si>
    <t>La fraise a besoin de 600 à 1 200 mm de pluie bien répartie. Une irrigation est souvent nécessaire pendant la floraison et la fructification</t>
  </si>
  <si>
    <t>Climat tempéré, frais, ensoleillé, sans fortes pluies pendant la floraison. L’humidité excessive favorise les maladies</t>
  </si>
  <si>
    <t>On plante les jeunes plants en saison fraîche (mars à juin), selon les régions, pour une récolte en saison sèche.</t>
  </si>
  <si>
    <t>Environ 30 000 à 50 000 plants par hectare, espacés de 30 cm sur la ligne, avec 60 cm entre les lignes.</t>
  </si>
  <si>
    <t>Stolons (rejets)</t>
  </si>
  <si>
    <t>La fraise est multipliée par stolons (rejets) ou plants en mottes. Elle n’est presque jamais semée par graines.
Il faut environ 30 000 à 50 000 plants par hectare.</t>
  </si>
  <si>
    <t>On récolte les fruits tous les 2 à 3 jours, pendant environ 2 à 3 mois. La récolte se fait manuellement, avec soin pour éviter de blesser les fruits.</t>
  </si>
  <si>
    <t>Labour profond, désherbage, amendement organique. Les planches surélevées ou paillées sont préférées pour limiter les maladies et faciliter la récolte.</t>
  </si>
  <si>
    <t>Désherbage manuel, irrigation régulière, paillage avec paille sèche ou plastique, suppression des stolons pour favoriser la production. Lutte préventive contre les maladies.</t>
  </si>
  <si>
    <t>Apport de fumier ou compost bien décomposé, environ 10 à 15 tonnes par hectare.</t>
  </si>
  <si>
    <t>NPK  à 200 kg/ha avant plantation. En cours de culture : NPK ou urée en petites doses fractionnées (50 à 100 kg/ha). Dolomie si le sol est acide.</t>
  </si>
  <si>
    <t xml:space="preserve">— Oïdium : feuilles blanchâtres.
— Botrytis (pourriture grise) : taches brunes, pourriture des fruits.
— Mildiou : taches jaunes ou brunes sur les feuilles.
Lutte : éviter les arrosages en excès, bonne aération, traitement au soufre, décoctions naturelles (ail, prêle).
</t>
  </si>
  <si>
    <t xml:space="preserve">— Pucerons : feuilles enroulées, collantes.
— Acariens rouges : jaunissement des feuilles.
— Vers blancs et taupins : rongent les racines.
Lutte biologique recommandée : extraits de neem, rotation des cultures, traitement localisé.
</t>
  </si>
  <si>
    <t xml:space="preserve">À Madagascar, les variétés les plus utilisées sont Camarosa, Chandler, Selva, et Festival. Certaines variétés locales sont également multipliées de manière artisanale. Camarosa est la plus répandue pour sa productivité et la taille des fruits.
La fraise est cultivée principalement dans les Hautes Terres : Antsirabe, Betafo, Faratsiho, Manandona, Ambatolampy et dans la région d’Analamanga. Elle est très appréciée sur le marché local, notamment pour les marchés urbains et les hôtels. Certaines coopératives produisent des fraises en agriculture biologique ou en agroécologie. Il existe des opportunités pour la transformation locale (confiture, jus, glace). Le principal défi reste la périssabilité du fruit, qui exige une bonne organisation de la récolte, du transport et de la commercialisation.
</t>
  </si>
  <si>
    <t xml:space="preserve">Pennisetum glaucum </t>
  </si>
  <si>
    <t>variétés locales paysannes ( bajiry mena, bajiry fotsy, et apemba tsofa)</t>
  </si>
  <si>
    <t>Millet à barbe
Bajiry, Apemba tsofa</t>
  </si>
  <si>
    <t>Millet
Millet à barbe
Bajiry, Apemba tsofa</t>
  </si>
  <si>
    <t>Le millet à barbe est une céréale traditionnelle d’origine africaine et indienne. À Madagascar, il est cultivé depuis longtemps, surtout dans les régions semi-arides (Sud, Sud-Ouest, Centre-Sud) comme Anosy, Androy, Atsimo-Andrefana, Ihorombe, mais aussi dans certaines zones des Hautes Terres. Il est utilisé comme aliment de base (bouillie, galette, couscous local), et est apprécié pour sa résistance à la sécheresse.</t>
  </si>
  <si>
    <t>Le millet pousse bien entre 0 et 1 400 m d’altitude, mais donne de meilleurs résultats dans les zones de moyenne altitude (200 à 800 m).</t>
  </si>
  <si>
    <t>Il pousse bien entre 25 et 35°C, mais peut supporter des températures jusqu’à 40°C.</t>
  </si>
  <si>
    <t>Le millet à barbe est une culture de sécheresse, qui se développe avec 300 à 600 mm de pluie par an. Il tolère des longues périodes sans pluie.</t>
  </si>
  <si>
    <t>Il préfère les climats chauds et secs, typiques du Sud et du Centre de Madagascar. Il est bien adapté aux conditions semi-arides.</t>
  </si>
  <si>
    <t>Espacement entre les lignes : 60 à 70 cm. Sur la ligne : 20 à 30 cm. On peut semer en poquet de 3 à 5 graines.</t>
  </si>
  <si>
    <t xml:space="preserve">Le millet est semé à la volée ou en ligne avec des graines.
En semis en ligne : environ 5 kg/ha.
En semis à la volée : jusqu’à 10 à 12 kg/ha.
</t>
  </si>
  <si>
    <t>La récolte a lieu lorsque les épis sont bien secs (grains durs et secs), souvent vers février ou mars. Elle se fait manuellement, à la faucille. Les épis sont ensuite séchés et battus.</t>
  </si>
  <si>
    <t>Labour ou griffage léger, désherbage, puis nivellement. Le sol ne doit pas être compact. Un bon travail du sol favorise une levée homogène.</t>
  </si>
  <si>
    <r>
      <rPr>
        <sz val="12"/>
        <color rgb="FFFF0000"/>
        <rFont val="Calibri"/>
        <family val="2"/>
      </rPr>
      <t>— Éclaircissage après levée
— Sarclage manuel ou binage à 30 et 50 jours
— Buttage si besoin
— Surveillance des ravageurs</t>
    </r>
    <r>
      <rPr>
        <sz val="12"/>
        <color theme="1"/>
        <rFont val="Calibri"/>
        <family val="2"/>
      </rPr>
      <t xml:space="preserve">
</t>
    </r>
  </si>
  <si>
    <t>3 à 5 tonnes/ha, en fumure de fond.</t>
  </si>
  <si>
    <t xml:space="preserve">Peu de maladies graves.
— Moisissure sur les épis si humidité
— Jaunissement possible lié au sol pauvre
→ Lutte : aération, bon drainage, semences saines
</t>
  </si>
  <si>
    <t xml:space="preserve">— Chenilles foreuses : trous dans les tiges
— Sauterelles : feuilles dévorées
— Oiseaux : picorent les grains mûrs
→ Lutte : épouvantails, rotation des cultures, traitements bio à base de neem ou cendre sur les jeunes plants
</t>
  </si>
  <si>
    <t>Le millet à barbe est une culture très importante pour la sécurité alimentaire dans les régions sèches du Sud et du Centre de Madagascar. Il résiste aux périodes de soudure et peut être stocké longtemps. Il est consommé sous forme de bouillie (koba bajiry), de couscous (apemba), ou de pain mélangé. Sa culture est adaptée à l’agriculture familiale, avec peu d’intrants. Des ONG et programmes appuient parfois la valorisation de cette céréale oubliée. Elle a aussi un potentiel en nutrition (riche en fer et fibres) et en agroécologie.</t>
  </si>
  <si>
    <t>À Madagascar, on cultive principalement la variété West Indian Lemon Grass, adaptée à la distillation d’huile essentielle. Il existe aussi d’autres types de citronnelle (Cymbopogon nardus, Cymbopogon winterianus) mais ils sont utilisés pour d’autres usages.</t>
  </si>
  <si>
    <t>Citronnelles des Indes Veromanitra</t>
  </si>
  <si>
    <r>
      <rPr>
        <sz val="12"/>
        <color rgb="FFFF0000"/>
        <rFont val="Calibri"/>
        <family val="2"/>
      </rPr>
      <t>Originaire d’Asie du Sud-Est, la citronnelle des Indes a été introduite à Madagascar pour ses usages aromatiques, médicinaux et industriels. Elle est aujourd’hui cultivée dans plusieurs régions comme Itasy, Analamanga, Vakinankaratra, Haute Matsiatra, et certaines zones de l’Est et du Sud. Elle est une plante arômatique à plusieurs vertus, certains l'utilisent pour attenuer l'insomnie ou pour soulager le trouble gastriquesElle est utilisée pour faire des tisanes, comme répulsif naturel, et surtout pour l’extraction de l’huile essentielle de citronnelle, très recherchée.</t>
    </r>
    <r>
      <rPr>
        <sz val="12"/>
        <color theme="1"/>
        <rFont val="Calibri"/>
        <family val="2"/>
      </rPr>
      <t xml:space="preserve">
La citronnelle est une plante arômatique à plusieurs vertus, certains l'utilisent pour attenuer l'insomnie ou pour soulager le trouble gastriques, elles peuvent donner des huiles essentielles à base de ces feuille</t>
    </r>
  </si>
  <si>
    <t>La citronnelle pousse bien entre 0 et 1 200 mètres d’altitude, avec un bon rendement entre 400 et 1 000 m.</t>
  </si>
  <si>
    <t>Elle préfère les sols légers, sablo-limoneux, bien drainés, riches en matière organique. Elle supporte des sols pauvres mais ne tolère pas les excès d’eau ni les sols lourds.</t>
  </si>
  <si>
    <t>Elle pousse bien entre 20 et 30°C. Elle est sensible au froid et ne supporte pas les températures en dessous de 10°C.</t>
  </si>
  <si>
    <t>Elle a besoin de 1 000 à 1 500 mm de pluie bien répartie. Elle peut supporter la sécheresse passagère mais produit moins.</t>
  </si>
  <si>
    <t>Climat chaud, humide et ensoleillé. Elle s’adapte aux régions tropicales et subtropicales, mais préfère un climat sans fortes variations.</t>
  </si>
  <si>
    <r>
      <t xml:space="preserve">La plantation se fait en début de saison des pluies, entre novembre </t>
    </r>
    <r>
      <rPr>
        <sz val="12"/>
        <color rgb="FFFF0000"/>
        <rFont val="Calibri"/>
        <family val="2"/>
      </rPr>
      <t>et janvier, pour favoriser l’enracinement.</t>
    </r>
  </si>
  <si>
    <t>Environ 30 000 à 50 000 plants par hectare, avec un espacement de 50 cm entre les lignes et 50 cm entre les plants.</t>
  </si>
  <si>
    <t>Rejet</t>
  </si>
  <si>
    <t>Plante : éclat de touffe ou rejet végétatif. Elle ne se multiplie pas par graines.
On utilise environ 30 000 à 40 000 éclats/ha.</t>
  </si>
  <si>
    <t>La récolte se fait manuellement, en coupant les feuilles à 10-15 cm du sol, tous les 3 à 5 mois. Le feuillage est utilisé frais ou distillé pour l’huile. On peut faire 2 à 4 récoltes par an, selon les conditions.</t>
  </si>
  <si>
    <t>Labour, hersage, apport de fumier. Le sol doit être bien ameubli et drainé. Il est important d’éliminer les mauvaises herbes avant la plantation.</t>
  </si>
  <si>
    <t xml:space="preserve">— Désherbage manuel ou mécanique
— Sarclage régulier
— Paillage conseillé
— Division des touffes tous les 3 à 4 ans pour régénérer la plantation
</t>
  </si>
  <si>
    <t>Compost ou fumier bien décomposé à 5 à 10 tonnes/ha, appliqué à la plantation et en entretien chaque année.</t>
  </si>
  <si>
    <t xml:space="preserve">Fertilisation minérale : type et dose (dolomie, NPK, urée)
— NPK: 100 à 150 kg/ha après chaque coupe
— Urée : 50 kg/ha en entretien
— Dolomie : 200 kg/ha en cas de sol acide
</t>
  </si>
  <si>
    <t xml:space="preserve">— Rouille : taches orangées sur les feuilles
— Pourriture du collet : base de la touffe molle et brune
→ Lutte : espacement suffisant, drainage, éviter les excès d’eau
</t>
  </si>
  <si>
    <t xml:space="preserve">— Mineuses des feuilles : galeries dans les feuilles
— Pucerons : affaiblissent les jeunes plants
→ Lutte : décoction de neem, rotation des cultures, bonne aération
</t>
  </si>
  <si>
    <t>Glycine max (L.) Merrill.</t>
  </si>
  <si>
    <t>Variétés locales (TGX 1835-10E, Namsoy 4M, ou Duocrop)</t>
  </si>
  <si>
    <t>Originaire d’Asie, le soja a été introduit à Madagascar pour l’alimentation humaine et animale, ainsi que pour la fabrication d’huile végétale. Il est aujourd’hui cultivé dans plusieurs régions, notamment à Alaotra Mangoro, Itasy, Bongolava, Vakinankaratra, Betsiboka et dans certaines zones de Boeny et du Sud. La culture du soja est encouragée pour améliorer la fertilité des sols et comme source de protéines végétales.</t>
  </si>
  <si>
    <t>Le soja s’adapte bien de 0 à 1 500 m d’altitude, avec de bons résultats dans les zones de moyenne altitude (800 à 1 200 m).</t>
  </si>
  <si>
    <t>Il préfère les sols légers à moyens, bien drainés, riches en matière organique, avec un pH entre 6 et 7. Il ne supporte pas les sols mal drainés ou trop acides.</t>
  </si>
  <si>
    <t>Le soja se développe bien entre 20 et 30°C. Il ne supporte pas le gel ni les fortes chaleurs prolongées.</t>
  </si>
  <si>
    <r>
      <t>Le soja a besoin de</t>
    </r>
    <r>
      <rPr>
        <sz val="12"/>
        <rFont val="Calibri"/>
        <family val="2"/>
      </rPr>
      <t xml:space="preserve"> 500 à 1 200 mm</t>
    </r>
    <r>
      <rPr>
        <sz val="12"/>
        <color rgb="FFFF0000"/>
        <rFont val="Calibri"/>
        <family val="2"/>
      </rPr>
      <t xml:space="preserve"> de pluie pendant son cycle. Une bonne répartition de la pluie est importante, surtout pendant la floraison et la formation des gousses.</t>
    </r>
  </si>
  <si>
    <t>Le soja aime les climats chauds, modérément humides, avec un bon ensoleillement. Il peut aussi se cultiver en climat sub-humide à condition que les pluies soient bien réparties.</t>
  </si>
  <si>
    <t>Le semis se fait au début de la saison des pluies, entre novembre et décembre, selon la région. On peut aussi faire un second semis en mars dans les zones à double saison.</t>
  </si>
  <si>
    <t>Espacement entre les lignes : 40 à 50 cm. Sur la ligne : 5 à 10 cm. Environ 250 000 à 350 000 plants/ha.</t>
  </si>
  <si>
    <r>
      <t xml:space="preserve">On sème des graines. Il faut </t>
    </r>
    <r>
      <rPr>
        <sz val="12"/>
        <rFont val="Calibri"/>
        <family val="2"/>
      </rPr>
      <t xml:space="preserve">60 à 80 kg </t>
    </r>
    <r>
      <rPr>
        <sz val="12"/>
        <color rgb="FFFF0000"/>
        <rFont val="Calibri"/>
        <family val="2"/>
      </rPr>
      <t>de graines par hectare, selon la taille des graines et l’espacement.</t>
    </r>
  </si>
  <si>
    <t>La récolte commence quand les feuilles jaunissent et tombent, et que les gousses brunissent. Elle se fait à la faucille, suivie du séchage, du battage, puis du tri.</t>
  </si>
  <si>
    <t>Labour, hersage, nivellement. Incorporation de fumier ou compost avant semis. Les mauvaises herbes doivent être bien contrôlées.</t>
  </si>
  <si>
    <t xml:space="preserve">— Éclaircissage si semis dense
— Sarclage ou binage au stade 3-4 feuilles puis au tallage
— Buttage si nécessaire
— Surveillance des ravageurs et maladies
</t>
  </si>
  <si>
    <t>Du fumier ou compost bien décomposé à 5 à 10 tonnes/ha</t>
  </si>
  <si>
    <t xml:space="preserve">— Charançons des gousses : trous dans les grains
— Chenilles : dévorent les feuilles
— Pucerons : feuilles déformées
→ Lutte : traitement bio (neem), rotation, plantation saine, filets anti-insectes
</t>
  </si>
  <si>
    <t xml:space="preserve">— Rouille asiatique : taches brunes sur les feuilles
— Pourriture racinaire : jaunissement, mort des plants
— Mildiou : taches jaunes ou noires
→ Lutte : semences saines, bon espacement, variétés résistantes, décoctions naturelles
</t>
  </si>
  <si>
    <t>R570</t>
  </si>
  <si>
    <r>
      <t xml:space="preserve">Canne à sucre
</t>
    </r>
    <r>
      <rPr>
        <sz val="12"/>
        <color rgb="FFFF0000"/>
        <rFont val="Calibri"/>
        <family val="2"/>
      </rPr>
      <t xml:space="preserve">Fary </t>
    </r>
  </si>
  <si>
    <r>
      <rPr>
        <sz val="12"/>
        <color rgb="FFFF0000"/>
        <rFont val="Calibri"/>
        <family val="2"/>
      </rPr>
      <t xml:space="preserve">La canne à sucre est originaire d’Asie du Sud-Est et a été introduite à Madagascar par les colons. Elle est cultivée à grande échelle pour la production de sucre industriel dans des régions comme Brickaville (Sucoma), Namakia, Nosy Be, Ambohipaky, mais aussi en petite production paysanne pour la fabrication de rhum, de jus local (ranovola), et de sirop. </t>
    </r>
    <r>
      <rPr>
        <sz val="12"/>
        <color theme="1"/>
        <rFont val="Calibri"/>
        <family val="2"/>
      </rPr>
      <t>Les feuilles servent comme fourrage pour les bétails</t>
    </r>
  </si>
  <si>
    <t>Perenne</t>
  </si>
  <si>
    <t xml:space="preserve">La canne pousse bien de 0 à 1 200 m, mais les meilleures productions sont obtenues en dessous de 600 m.
</t>
  </si>
  <si>
    <r>
      <t xml:space="preserve">Elle préfère les sols profonds, légers à moyens, riches en matière organique, bien drainés, avec un pH entre 5,5 et 7. </t>
    </r>
    <r>
      <rPr>
        <sz val="12"/>
        <color rgb="FFFF0000"/>
        <rFont val="Calibri"/>
        <family val="2"/>
      </rPr>
      <t>Elle tolère des sols légèrement acides.</t>
    </r>
  </si>
  <si>
    <t>La température idéale est entre 25 et 32°C. Elle ne supporte pas le gel ni les températures inférieures à 15°C pendant longtemps.</t>
  </si>
  <si>
    <r>
      <rPr>
        <sz val="12"/>
        <color rgb="FFFF0000"/>
        <rFont val="Calibri"/>
        <family val="2"/>
      </rPr>
      <t>La canne a besoin de</t>
    </r>
    <r>
      <rPr>
        <sz val="12"/>
        <rFont val="Calibri"/>
        <family val="2"/>
      </rPr>
      <t xml:space="preserve"> 1 200 à 2 000</t>
    </r>
    <r>
      <rPr>
        <sz val="12"/>
        <color rgb="FFFF0000"/>
        <rFont val="Calibri"/>
        <family val="2"/>
      </rPr>
      <t xml:space="preserve"> mm de pluie par an. En dessous de 1 000 mm, une irrigation est nécessaire.</t>
    </r>
  </si>
  <si>
    <r>
      <t>Elle demande un climat chaud et humide, avec une période sèche marquée fr</t>
    </r>
    <r>
      <rPr>
        <sz val="12"/>
        <rFont val="Calibri"/>
        <family val="2"/>
      </rPr>
      <t xml:space="preserve"> 4à 5 moi</t>
    </r>
    <r>
      <rPr>
        <sz val="12"/>
        <color rgb="FFFF0000"/>
        <rFont val="Calibri"/>
        <family val="2"/>
      </rPr>
      <t>s pour favoriser la maturation des tiges.</t>
    </r>
  </si>
  <si>
    <t>Environ 10 000 à 12 000 boutures par hectare, espacées de 1,2 m entre les lignes et 30 à 40 cm entre les plants.</t>
  </si>
  <si>
    <t>La canne est multipliée par boutures de tiges (fragment de tige avec 2 à 3 yeux).). On utilise 7 à 10 tonnes de boutures/ha.</t>
  </si>
  <si>
    <t>Bouture</t>
  </si>
  <si>
    <t>La récolte est manuelle ou mécanique, quand les tiges deviennent dures et sucrées. Elle se fait entre août et décembre selon les zones. La coupe est suivie du pressage ou broyage rapide pour éviter la perte de sucre.</t>
  </si>
  <si>
    <t xml:space="preserve">— Désherbage manuel ou chimique
— Rebinage et buttage des jeunes plants
— Apport d’eau en cas de sécheresse
— Coupe des repousses (rejets non désirés)
— Surveillance des maladies
</t>
  </si>
  <si>
    <t>Apport de fumier ou compost bien décomposé, à raison de 10 à 20 tonnes/ha avant la plantation.</t>
  </si>
  <si>
    <t xml:space="preserve">— NPK à 200–300 kg/ha
— Urée : 100 à 200 kg/ha après 3 mois
— Dolomie : 200 à 300 kg/ha si sol acide
Les apports sont fractionnés selon les stades de croissance.
</t>
  </si>
  <si>
    <r>
      <rPr>
        <sz val="12"/>
        <color rgb="FFFF0000"/>
        <rFont val="Calibri"/>
        <family val="2"/>
      </rPr>
      <t>— Foreurs de tige (Scirpophaga) : galeries, canne cassante
— Termites : tiges rongées
— Sauterelles et criquets : défoliation
→ Lutte : rotation culturale, destruction des résidus, traitement bio ou chimique localisé</t>
    </r>
    <r>
      <rPr>
        <sz val="12"/>
        <color theme="1"/>
        <rFont val="Calibri"/>
        <family val="2"/>
      </rPr>
      <t xml:space="preserve">
</t>
    </r>
  </si>
  <si>
    <r>
      <rPr>
        <sz val="12"/>
        <color rgb="FFFF0000"/>
        <rFont val="Calibri"/>
        <family val="2"/>
      </rPr>
      <t>P</t>
    </r>
    <r>
      <rPr>
        <sz val="12"/>
        <color rgb="FF000000"/>
        <rFont val="Calibri"/>
        <family val="2"/>
      </rPr>
      <t>iper nigrum</t>
    </r>
  </si>
  <si>
    <t>Karimunda</t>
  </si>
  <si>
    <t xml:space="preserve">
Poivre noir
Dipoavatra</t>
  </si>
  <si>
    <r>
      <rPr>
        <sz val="12"/>
        <color rgb="FFFF0000"/>
        <rFont val="Calibri"/>
        <family val="2"/>
      </rPr>
      <t>Poivre</t>
    </r>
    <r>
      <rPr>
        <sz val="12"/>
        <color rgb="FF000000"/>
        <rFont val="Calibri"/>
        <family val="2"/>
      </rPr>
      <t xml:space="preserve">
Poivre noir
</t>
    </r>
    <r>
      <rPr>
        <sz val="12"/>
        <color rgb="FFFF0000"/>
        <rFont val="Calibri"/>
        <family val="2"/>
      </rPr>
      <t>Dipoavatra</t>
    </r>
  </si>
  <si>
    <r>
      <rPr>
        <sz val="12"/>
        <color rgb="FFFF0000"/>
        <rFont val="Calibri"/>
        <family val="2"/>
      </rPr>
      <t>Originaire d’Inde, le poivre noir a été introduit à Madagascar dans les zones tropicales humides. Il est aujourd’hui cultivé dans les régions de Diana (Ambanja, Ambilobe), Sava, Analanjirofo (Fénérive-Est), Atsinanana (Toamasina), et parfois dans le Sud-Est (Farafangana, Vangaindrano). Madagascar est reconnu internationalement pour la qualité de son poivre, notamment en agriculture biologique et pour l’exportation.</t>
    </r>
    <r>
      <rPr>
        <sz val="12"/>
        <color rgb="FF000000"/>
        <rFont val="Calibri"/>
        <family val="2"/>
      </rPr>
      <t xml:space="preserve">
Le poivre vert est la baie du poivrier commun piper nigrum  dont la grappe est cueillie encore immature, avant que le grain soit totalement formé. </t>
    </r>
  </si>
  <si>
    <t xml:space="preserve">Il pousse bien entre 0 et 700 mètres d’altitude, avec de bons rendements à moins de 400 m.
</t>
  </si>
  <si>
    <t>Il préfère les sols légers à moyens, riches en humus, bien drainés, légèrement acides, avec un pH entre 5,5 et 6,5. Les sols doivent retenir l’humidité sans être inondés.</t>
  </si>
  <si>
    <r>
      <t>Le poivre noir pousse bien entre 25 et 32°C.</t>
    </r>
    <r>
      <rPr>
        <sz val="12"/>
        <color rgb="FFFF0000"/>
        <rFont val="Calibri"/>
        <family val="2"/>
      </rPr>
      <t xml:space="preserve"> Il craint les températures inférieures à 15°C.</t>
    </r>
  </si>
  <si>
    <t>Il a besoin de 2 000 à 3 000 mm de pluie bien répartie dans l’année, avec une courte saison sèche pour stimuler la floraison.</t>
  </si>
  <si>
    <t>Le poivre a besoin d’un climat chaud et humide, avec une bonne couverture végétale. Il est sensible aux vents forts, à la sécheresse prolongée et au soleil direct.</t>
  </si>
  <si>
    <t>La plantation se fait en fin de saison des pluies, entre mars et mai, pour permettre un bon enracinement avant la sécheresse.</t>
  </si>
  <si>
    <t>Environ 2 000 à 2 500 plants par hectare, espacés de 2 à 2,5 m entre les lignes et 2 m sur la ligne.</t>
  </si>
  <si>
    <t xml:space="preserve">Le poivre est multiplié par boutures (rejets) ou marcottage. Il faut 2 500 boutures pour un hectare.
Non applicable en kg. Minimum 2 000 plants/ha.
Jusqu’à 2 500 plants/ha pour une plantation serrée.
</t>
  </si>
  <si>
    <t xml:space="preserve">La récolte se fait entre mai et juillet, quand les grappes sont formées et les grains commencent à jaunir.
Pour le poivre noir : les grains sont récoltés immatures, puis séchés rapidement au soleil.
</t>
  </si>
  <si>
    <t xml:space="preserve">— Nettoyage, défrichage
— Installation de tuteurs vivants (arbres comme Gliricidia, Erythrina) ou tuteurs en bois
— Apport de compost ou fumier avant plantation
</t>
  </si>
  <si>
    <t xml:space="preserve">— Tuteurage régulier des lianes
— Désherbage manuel
— Élagage des tuteurs vivants
— Paillage pour conserver l’humidité
— Application d’engrais organiques
— Surveillance des maladies et ravageurs
</t>
  </si>
  <si>
    <t>Environ 10 à 15 tonnes par hectare par an.</t>
  </si>
  <si>
    <t xml:space="preserve">— NPK: 150 à 200 g/pied
— Dolomie : 200 g/pied si pH &lt; 5,5
— Engrais potassique (K) pour améliorer la qualité du grain
</t>
  </si>
  <si>
    <t xml:space="preserve">— Cochenilles farineuses : taches blanches, ralentissement de croissance
— Fourmis rouges : transportent les cochenilles
— Thrips, acariens : taches argentées
→ Lutte : pulvérisations au savon noir, décoction de neem, paillage propre, coupe des tiges infestées
</t>
  </si>
  <si>
    <t xml:space="preserve">— Phytophthora (pourriture du collet) : flétrissement, mort du plant
— Anthracnose : taches noires sur les feuilles et les grappes
— Mildiou : jaunissement
→ Lutte : drainage, espacement suffisant, plants sains, traitement bio (ail, neem), rotation des cultures
</t>
  </si>
  <si>
    <t xml:space="preserve">— Rouille brune : taches sur les feuilles
— Charbon de la canne : épis noirs
— Pourriture rouge : cœur de tige pourri
→ Lutte : variétés résistantes, rotation, coupe sanitaire, désinfection des outils
</t>
  </si>
  <si>
    <t>Lens</t>
  </si>
  <si>
    <r>
      <t xml:space="preserve">Lens culinaris </t>
    </r>
    <r>
      <rPr>
        <sz val="12"/>
        <color rgb="FFFF0000"/>
        <rFont val="Calibri"/>
        <family val="2"/>
      </rPr>
      <t>Medik</t>
    </r>
  </si>
  <si>
    <t>Variété Locale</t>
  </si>
  <si>
    <r>
      <t xml:space="preserve">. La lentille est une légumineuse cultivée depuis des millénaires, originaire du Moyen-Orient et du bassin méditerranéen,
</t>
    </r>
    <r>
      <rPr>
        <sz val="12"/>
        <color rgb="FFFF0000"/>
        <rFont val="Calibri"/>
        <family val="2"/>
      </rPr>
      <t>À Madagascar, on trouve principalement des variétés locales, adaptées aux zones sèches et d’altitude, ainsi que quelques introductions d’anciennes variétés améliorées (origine Inde, Afrique du Nord). Il n’existe pas encore de programme national actif de sélection variétale spécifique.</t>
    </r>
  </si>
  <si>
    <t>Elle pousse bien entre 800 et 1 800 mètres d’altitude, avec une préférence pour les zones au-dessus de 1 000 m.</t>
  </si>
  <si>
    <r>
      <rPr>
        <sz val="12"/>
        <color rgb="FFFF0000"/>
        <rFont val="Calibri"/>
        <family val="2"/>
      </rPr>
      <t>L</t>
    </r>
    <r>
      <rPr>
        <sz val="12"/>
        <color theme="1"/>
        <rFont val="Calibri"/>
        <family val="2"/>
      </rPr>
      <t xml:space="preserve">entille 
</t>
    </r>
  </si>
  <si>
    <t xml:space="preserve">Lentille 
</t>
  </si>
  <si>
    <t>Température idéale : 15 à 25°C. Elle ne supporte pas les températures très élevées ou très basses. Elle résiste modérément à la sécheresse.</t>
  </si>
  <si>
    <t>Elle aime les sols légers, bien drainés, riches en humus, légèrement alcalins à neutres, avec un pH entre 6 et 7,5. Elle n’aime pas l’humidité stagnante ni les sols très acides.</t>
  </si>
  <si>
    <t>Besoins modérés : 300 à 500 mm de pluie bien répartie pendant son cycle. Elle est sensible à l’excès d’humidité pendant la floraison et la maturation.</t>
  </si>
  <si>
    <t>Elle pousse bien en climat tempéré ou sub-humide, avec une saison fraîche et sèche pour la maturation.</t>
  </si>
  <si>
    <t>Le semis se fait à la fin de la saison des pluies, entre avril et mai, selon la région, pour que la maturation ait lieu en saison sèche.</t>
  </si>
  <si>
    <t>Espacement : 30 à 40 cm entre les lignes, 10 cm entre les poquets. Cela correspond à 300 000 à 400 000 plants/ha.</t>
  </si>
  <si>
    <t>On sème directement les graines sèches. Il faut 40 à 60 kg de semences/ha, selon la taille des graines.</t>
  </si>
  <si>
    <t>Graine</t>
  </si>
  <si>
    <t>La récolte se fait quand les feuilles jaunissent et les gousses brunissent. On coupe les plants à la main ou à la faucille, on les sèche, puis on les bat et on trie les grains.</t>
  </si>
  <si>
    <t>Labour léger, hersage, élimination des mauvaises herbes. Apport de fumier ou compost. Le sol doit être meuble et bien drainé.</t>
  </si>
  <si>
    <t xml:space="preserve">– Désherbage manuel ou binage précoce
– Surveillance des maladies
– Paillage éventuel
– Pas de besoin en tuteurage
</t>
  </si>
  <si>
    <t>Fumier ou compost bien décomposé : 5 à 8 tonnes/ha, à incorporer avant le semis.</t>
  </si>
  <si>
    <t xml:space="preserve">– Fusariose : flétrissement des plants
– Oïdium : poussière blanche sur les feuilles
– Rouille : taches orangées
→ Lutte : semences saines, espacement correct, décoctions d’ail ou prêle, destruction des résidus
</t>
  </si>
  <si>
    <t xml:space="preserve">– Pucerons : petites colonies, feuilles enroulées
– Noctuelles (chenilles) : trous dans les feuilles
→ Lutte : pulvérisation à base de neem, rotation des cultures, filets en pépinière, contrôle précoce
</t>
  </si>
  <si>
    <t>La lentille est cultivée à petite échelle dans les Hautes Terres, surtout pour l’autoconsommation et la vente locale. Elle est appréciée pour sa valeur nutritive, sa capacité à enrichir le sol en azote, et sa bonne conservation. Elle est souvent cultivée en rotation avec le maïs, le blé ou les pommes de terre. La filière est encore peu structurée, mais représente une opportunité pour la sécurité alimentaire, notamment dans les zones d’altitude.</t>
  </si>
  <si>
    <r>
      <t>Hordeum vulgare</t>
    </r>
    <r>
      <rPr>
        <sz val="12"/>
        <color rgb="FFFF0000"/>
        <rFont val="Calibri"/>
        <family val="2"/>
      </rPr>
      <t xml:space="preserve"> L.</t>
    </r>
  </si>
  <si>
    <r>
      <t xml:space="preserve">Orge
</t>
    </r>
    <r>
      <rPr>
        <sz val="12"/>
        <color rgb="FFFF0000"/>
        <rFont val="Calibri"/>
        <family val="2"/>
      </rPr>
      <t>Orge BK</t>
    </r>
  </si>
  <si>
    <r>
      <t xml:space="preserve">L'orge est une céréale de la famille des graminées, caractérisée par ses épis et ses grains plus ronds et plus gros que ceux du blé.
</t>
    </r>
    <r>
      <rPr>
        <sz val="12"/>
        <color rgb="FFFF0000"/>
        <rFont val="Calibri"/>
        <family val="2"/>
      </rPr>
      <t>La variété BK a été introduite à Madagascar dans le cadre des essais d’adaptation des cultures céréalières en zone d’altitude. Elle est cultivée depuis plusieurs décennies dans les régions de Vakinankaratra, Itasy, Amoron’i Mania, et Haute Matsiatra. L’orge BK est utilisée pour la consommation humaine, parfois pour la brasserie artisanale, et aussi pour l’alimentation animale.</t>
    </r>
  </si>
  <si>
    <t>Elle donne de bons résultats à 1 200 – 2 000 m d’altitude. Elle est bien adaptée aux zones fraîches des Hautes Terres.</t>
  </si>
  <si>
    <t>L’orge BK préfère les sols argilo-sableux, bien drainés, fertiles, avec un pH compris entre 6 et 7,5. Elle tolère des sols légèrement acides.</t>
  </si>
  <si>
    <t>Température idéale : 15 à 22°C. Elle supporte des nuits froides et une saison sèche fraîche, ce qui favorise sa maturation.</t>
  </si>
  <si>
    <t>L’orge BK a besoin de 400 à 600 mm d’eau pendant son cycle. Elle est peu exigeante et supporte les sécheresses modérées.</t>
  </si>
  <si>
    <t>Climat tempéré, frais et sec. Elle ne supporte pas les fortes pluies pendant la floraison.</t>
  </si>
  <si>
    <t>Espacement : 25 cm entre les lignes, semis en lignes continues. Cela donne environ 250 à 300 plants/m². 300000  plants/ha.</t>
  </si>
  <si>
    <t>Le semis se fait de fin mars à fin avril, pour que la maturation ait lieu entre juillet et août.
a culture de l’orge (Hordeum vulgare) se fait généralement sans pépinière, c’est-à-dire en semis direct en plein champ.
L’orge est une céréale rustique qui ne nécessite pas de repiquage.
 • Elle est semée directement en ligne ou à la volée sur un sol bien préparé.
 • Pas besoin de pépinière, contrairement à certaines cultures comme le riz repiqué ou les légumes-fruits (tomate, poivron, etc.).</t>
  </si>
  <si>
    <t>Semis direct de grains secs. Il faut 100 à 120 kg de semences par hectare.</t>
  </si>
  <si>
    <t>Récolte quand les épis sont secs, grains bien formés et durs. Récolte à la faucille, séchage sur place, puis battage traditionnel ou mécanique. Récolte entre juillet et août.</t>
  </si>
  <si>
    <t>Labour profond (15–20 cm), hersage, désherbage. Sol bien nivelé, sans flaques ni croûte.</t>
  </si>
  <si>
    <t xml:space="preserve">– Désherbage manuel précoce
– Binage léger
– Éventuel apport de compost
– Contrôle phytosanitaire modéré
– Aucun tuteurage requis
</t>
  </si>
  <si>
    <t>Fumier de zébu ou compost : 5 à 8 tonnes/ha, incorporé au moment de la préparation du sol.</t>
  </si>
  <si>
    <t xml:space="preserve">– Pucerons : feuilles enroulées, affaiblissement des plants
– Vers gris : attaque les plantules jeunes
→ Lutte : semis groupé, désherbage précoce, purins végétaux (neem, tagète)
</t>
  </si>
  <si>
    <t xml:space="preserve">– Rouille : taches rouilles sur les feuilles
– Taches foliaires (helminthosporiose) : lésions allongées brunâtres
– Fusariose : tiges molles, pourriture à la base
→ Lutte : semences saines, traitement naturel (ail, bicarbonate), rotation culturale
</t>
  </si>
  <si>
    <t>L’orge BK est une culture de diversification dans les Hautes Terres malgaches. Elle est adaptée aux conditions agroécologiques locales, notamment dans les systèmes à rotation courte (avec pomme de terre, pois, avoine). Sa tolérance à la sécheresse, sa valeur alimentaire (grains, paille) et son rôle dans la sécurité alimentaire lui donnent un potentiel important, malgré une filière encore non structurée. Elle est aussi valorisée localement en bouillie, galettes, boissons traditionnelles.</t>
  </si>
  <si>
    <r>
      <t>Triticum aestivum</t>
    </r>
    <r>
      <rPr>
        <sz val="12"/>
        <color rgb="FFFF0000"/>
        <rFont val="Calibri"/>
        <family val="2"/>
      </rPr>
      <t xml:space="preserve"> L,</t>
    </r>
  </si>
  <si>
    <r>
      <t xml:space="preserve">Blé
</t>
    </r>
    <r>
      <rPr>
        <sz val="12"/>
        <color rgb="FFFF0000"/>
        <rFont val="Calibri"/>
        <family val="2"/>
      </rPr>
      <t>Avotra89</t>
    </r>
  </si>
  <si>
    <t>Blé</t>
  </si>
  <si>
    <r>
      <t xml:space="preserve">Le blé est une céréale cultivée, appartenant à la famille des graminées (Poacées).
</t>
    </r>
    <r>
      <rPr>
        <sz val="12"/>
        <color rgb="FFFF0000"/>
        <rFont val="Calibri"/>
        <family val="2"/>
      </rPr>
      <t>Le blé a été introduit à Madagascar depuis la période coloniale. La variété Avotra 89 a été mise au point pour répondre aux besoins de production locale dans les zones d’altitude, avec un bon rendement, une maturité moyenne, et une certaine tolérance à la rouille. Elle est surtout cultivée à Vakinankaratra, Itasy, Haute Matsiatra, et Amoron’i Mania.</t>
    </r>
  </si>
  <si>
    <t>La variété Avotra 89 s’adapte bien entre 1 200 et 1 800 mètres d’altitude.</t>
  </si>
  <si>
    <t>Elle préfère les sols argilo-sableux, bien drainés, riches en matière organique, avec un pH compris entre 6 et 7,5. Les sols trop acides ou trop compacts réduisent le rendement.</t>
  </si>
  <si>
    <t>Besoins en eau : 400 à 600 mm bien répartis sur le cycle. Elle craint les pluies excessives pendant la maturité.</t>
  </si>
  <si>
    <t>Climat frais et modérément humide, avec une saison sèche pendant la maturation. Sensible à l’humidité prolongée</t>
  </si>
  <si>
    <t>Le semis se fait de mi-mars à mi-avril, après les cultures de pommes de terre ou de légumes, pour récolte entre juillet et août.</t>
  </si>
  <si>
    <t>Espacement : 20 à 25 cm entre les lignes, en semis direct à la volée ou en ligne. Cela correspond à 300 à 350 grains/m².</t>
  </si>
  <si>
    <t>Semence sous forme de grains secs. Quantité nécessaire : 100 à 120 kg/ha, selon la taille des grains.</t>
  </si>
  <si>
    <t>La récolte a lieu en juillet-août, lorsque les épis deviennent secs et dorés. On coupe à la faucille, on sèche, puis on bat à la main ou mécaniquement.</t>
  </si>
  <si>
    <t>Labour profond, hersage, désherbage complet. Apport de fumier avant semis. Sol meuble et nivelé.</t>
  </si>
  <si>
    <t xml:space="preserve">– Désherbage manuel ou mécanique
– Apport d’engrais en couverture
– Surveillance phytosanitaire
– Aucun tuteurage nécessaire
</t>
  </si>
  <si>
    <t>Fumier de zébu ou compost mûr : 6 à 10 tonnes/ha, à incorporer 2 semaines avant semis.</t>
  </si>
  <si>
    <t xml:space="preserve">– NPK: 100 à 150 kg/ha au semis
– Urée: 40 à 60 kg/ha, en couverture à 30 jours
– Dolomie : 200 kg/ha si pH &lt; 6
</t>
  </si>
  <si>
    <t xml:space="preserve">– Rouille jaune et brune : pustules orange-brun sur les feuilles
– Fusariose : nécrose à la base des tiges
– Taches foliaires : nécroses ovales
→ Lutte : rotation, variétés tolérantes, décoction d’ail ou prêle, espacement adéquat
</t>
  </si>
  <si>
    <t xml:space="preserve">– Pucerons : petites colonies noires, feuilles enroulées
– Vers gris (noctuelles) : section des plantules
→ Lutte : semis groupé, décoction de neem ou tagète, désherbage
</t>
  </si>
  <si>
    <t>Le blé Avotra 89 est une variété adaptée aux systèmes agricoles des Hautes Terres, souvent cultivée en rotation avec pomme de terre, pois, lentille ou orge. Il est apprécié pour sa capacité de panification, sa rusticité, et sa contribution à la sécurité alimentaire. Cependant, la filière reste peu structurée, et la transformation locale est encore limitée, malgré un fort potentiel. Les efforts sont à renforcer sur l’accès à la semence de qualité et la valorisation post-récolte.</t>
  </si>
  <si>
    <r>
      <rPr>
        <sz val="12"/>
        <color rgb="FFFF0000"/>
        <rFont val="Calibri"/>
        <family val="2"/>
      </rPr>
      <t>F</t>
    </r>
    <r>
      <rPr>
        <sz val="12"/>
        <color theme="1"/>
        <rFont val="Calibri"/>
        <family val="2"/>
      </rPr>
      <t xml:space="preserve">oeniculum vulgare </t>
    </r>
    <r>
      <rPr>
        <sz val="12"/>
        <color rgb="FFFF0000"/>
        <rFont val="Calibri"/>
        <family val="2"/>
      </rPr>
      <t>Mill,</t>
    </r>
  </si>
  <si>
    <t xml:space="preserve">Fenouil commun </t>
  </si>
  <si>
    <r>
      <rPr>
        <sz val="12"/>
        <color rgb="FFFF0000"/>
        <rFont val="Calibri"/>
        <family val="2"/>
      </rPr>
      <t>F</t>
    </r>
    <r>
      <rPr>
        <sz val="12"/>
        <color theme="1"/>
        <rFont val="Calibri"/>
        <family val="2"/>
      </rPr>
      <t>enouil</t>
    </r>
  </si>
  <si>
    <t>Fenouil</t>
  </si>
  <si>
    <t>Originaire de la région méditerranéenne, le fenouil a été introduit à Madagascar comme plante aromatique, condimentaire et médicinale. On le retrouve dans les jardins agroécologiques, parfois en bord de champ. Il est utilisé pour parfumer les plats, mais aussi pour ses propriétés digestives et calmantes (infusions). Ses graines sont également vendues en herboristerie.</t>
  </si>
  <si>
    <t>Il pousse bien entre 0 et 1 800 m, mais donne de meilleurs résultats entre 800 et 1 500 m.</t>
  </si>
  <si>
    <t>Il préfère les sols légers, profonds, bien drainés, riches en matière organique, légèrement calcaire. Il ne supporte pas les excès d’eau ni les sols trop acides (pH idéal entre 6 et 7,5).</t>
  </si>
  <si>
    <t>Température optimale entre 18 et 26°C. Il résiste bien à la chaleur modérée, mais les températures trop élevées freinent le développement du bulbe.</t>
  </si>
  <si>
    <t>Le fenouil a besoin d’environ 500 à 700 mm d’eau bien répartie. Il supporte les périodes courtes de sécheresse mais n’aime pas l’humidité stagnante.</t>
  </si>
  <si>
    <t>Climat tempéré à chaud, sec en fin de cycle. La montée en graine est accélérée par les températures élevées.</t>
  </si>
  <si>
    <t xml:space="preserve">– Avril à juin dans les Hautes Terres
– Février à mai en zones côtières
On peut aussi pratiquer un semis échelonné selon les besoins.
</t>
  </si>
  <si>
    <t>Espacement : 30 cm sur la ligne, 50 cm entre les lignes. Soit environ 40 000 à 50 000 plants/ha.</t>
  </si>
  <si>
    <t>Semis direct en pleine terre ou repiquage. La semence est sous forme de graines fines, aromatiques.</t>
  </si>
  <si>
    <t xml:space="preserve">– Le feuillage peut être récolté en continu à partir de 3 mois
– Les graines se récoltent vers 4 à 5 mois, quand elles brunissent. On coupe les tiges, on sèche à l’ombre, puis on bat pour extraire les graines.
</t>
  </si>
  <si>
    <t>Labour léger, hersage fin, incorporation de compost ou fumier bien décomposé. Sol meuble, sans flaques.</t>
  </si>
  <si>
    <t xml:space="preserve">– Désherbage fréquent
– Sarclage léger
– Apport de compost ou paillage
– Arrosage régulier sans excès
– Surveillance des ravageurs
</t>
  </si>
  <si>
    <t>Compost ou fumier mûr : 5 à 10 tonnes/ha, à incorporer avant le semis.</t>
  </si>
  <si>
    <r>
      <rPr>
        <sz val="12"/>
        <color rgb="FFFF0000"/>
        <rFont val="Calibri"/>
        <family val="2"/>
      </rPr>
      <t>– NPK: 100 à 150 kg/ha
– Urée: 30 à 50 kg/ha en fractionné
– Dolomie : 200 kg/ha en sol acide</t>
    </r>
    <r>
      <rPr>
        <sz val="12"/>
        <color theme="1"/>
        <rFont val="Calibri"/>
        <family val="2"/>
      </rPr>
      <t xml:space="preserve">
</t>
    </r>
  </si>
  <si>
    <t xml:space="preserve">– Oïdium : dépôt blanc sur feuilles
– Fonte des semis : jeunes plants flétris
– Taches foliaires
→ Lutte : traitement naturel à la prêle ou bicarbonate, espacement, semences saines
</t>
  </si>
  <si>
    <t xml:space="preserve">– Pucerons : affaiblissement, feuilles recroquevillées
– Chenilles mineuses : galeries dans les feuilles
– Altises : trous dans le feuillage
→ Lutte : décoction de neem, ail, rotation, paillage
</t>
  </si>
  <si>
    <t>Le fenouil commun est peu cultivé à grande échelle mais il est valorisé en agroécologie, dans les systèmes intégrés ou les jardins de plantes médicinales. Il est utilisé pour la vente locale, la transformation artisanale (tisanes, huiles essentielles) ou la préparation de remèdes traditionnels. Son potentiel est encore sous-exploité, mais il pourrait jouer un rôle important dans les filières aromatiques durables, surtout dans les zones de production maraîchère en altitude ou moyenne altitude.</t>
  </si>
  <si>
    <r>
      <t>Cicer arietinum</t>
    </r>
    <r>
      <rPr>
        <sz val="12"/>
        <color rgb="FFFF0000"/>
        <rFont val="Calibri"/>
        <family val="2"/>
      </rPr>
      <t xml:space="preserve"> L</t>
    </r>
  </si>
  <si>
    <r>
      <rPr>
        <sz val="12"/>
        <color rgb="FFFF0000"/>
        <rFont val="Calibri"/>
        <family val="2"/>
      </rPr>
      <t>Pois</t>
    </r>
    <r>
      <rPr>
        <sz val="12"/>
        <color theme="1"/>
        <rFont val="Calibri"/>
        <family val="2"/>
      </rPr>
      <t xml:space="preserve"> chiche</t>
    </r>
  </si>
  <si>
    <t>Pois chiche</t>
  </si>
  <si>
    <r>
      <t xml:space="preserve">Le poid chiche est originaire du Proche-Orient et de Turquie. Le pois chiche est une plante herbacée annuelle, de 20 à 40 cm de haut, avec des feuilles composées et des fleurs bleuâtres ou blanches. Les graines, de forme ronde et bosselée, sont contenues dans des gousses.
</t>
    </r>
    <r>
      <rPr>
        <sz val="12"/>
        <color rgb="FFFF0000"/>
        <rFont val="Calibri"/>
        <family val="2"/>
      </rPr>
      <t>. Il a été introduit à Madagascar dans les zones sèches et subarides, notamment dans le Sud (Androy, Anosy, Atsimo Andrefana) et les zones semi-arides de l’Ouest. Il est cultivé pour ses graines riches en protéines, utilisées en alimentation humaine (bouillies, plats, farine).</t>
    </r>
  </si>
  <si>
    <t>Il pousse bien jusqu’à 1 200 m d’altitude, mais préfère les zones de basse et moyenne altitude (0–800 m), notamment en zones sèches ou subhumides.</t>
  </si>
  <si>
    <t>Il préfère les sols légers à moyens, bien drainés, sablo-limoneux, légèrement alcalins. Il supporte les sols pauvres mais n’aime pas les excès d’humidité. pH idéal entre 6 et 8.</t>
  </si>
  <si>
    <t>Température optimale entre 20 et 30°C. Il supporte bien la chaleur mais craint les excès d’eau et l’humidité en fin de cycle.</t>
  </si>
  <si>
    <t>Le pois chiche est tolérant à la sécheresse. Il a besoin de 300 à 500 mm d’eau pendant le cycle. Trop d’eau provoque des maladies racinaires.</t>
  </si>
  <si>
    <t>Climat sec, chaud, avec peu de pluies. Idéal en saison sèche fraîche. Il craint les fortes pluies pendant la floraison et la maturation.</t>
  </si>
  <si>
    <t xml:space="preserve">– Mars à avril dans les Hautes Terres
– Janvier à février dans les régions sèches du Sud-Ouest
– En conditions irriguées, possible aussi en septembre-octobre
</t>
  </si>
  <si>
    <t>Espacement de 30 cm entre les lignes, 10 à 15 cm entre les poquets. Cela donne 150 000 à 200 000 plants/ha.</t>
  </si>
  <si>
    <t>Semis direct en poquets ou lignes. On utilise des graines sèches bien formées.</t>
  </si>
  <si>
    <t>Récolte quand les feuilles jaunissent et que les gousses sont sèches. On coupe les plants entiers, on les sèche, puis on bat pour extraire les graines. La récolte a lieu environ 3 à 4 mois après semis.</t>
  </si>
  <si>
    <t>Labour superficiel, hersage, nivellement. Il est important de ne pas trop tasser le sol. Désherbage avant le semis.</t>
  </si>
  <si>
    <t xml:space="preserve">– Binage léger
– Sarclage manuel
– Aucun apport d’eau si culture pluviale
– Aucun tuteurage requis
</t>
  </si>
  <si>
    <t>Compost ou fumier bien décomposé : 5 à 8 tonnes/ha, à intégrer avant le semis.</t>
  </si>
  <si>
    <t xml:space="preserve">– Fusariose : flétrissement
– Pourriture racinaire : noircissement de la base
– Anthracnose : taches sombres sur feuilles
→ Lutte : rotation, semences saines, décoction d’ail ou prêle, espacement
</t>
  </si>
  <si>
    <t xml:space="preserve">– Bruches : attaques sur graines en stockage
– Pucerons : feuilles enroulées
– Chenilles des gousses : perforations
→ Lutte : nettoyage régulier, décoction de neem, récolte précoce, bonne aération
</t>
  </si>
  <si>
    <t>Le pois chiche commun est très adapté aux zones sèches de Madagascar, notamment dans le Sud-Ouest, Anosy, Androy, mais aussi dans des zones de rotation culturale dans les Hautes Terres. Il est apprécié pour sa valeur nutritionnelle élevée, sa résistance à la sécheresse, et son rôle dans la sécurité alimentaire. Sa culture peut être valorisée par la transformation artisanale (farine, galettes, soupes) et la vente sur les marchés urbains. C’est une légumineuse d’avenir, surtout en contexte de changement climatique.</t>
  </si>
  <si>
    <r>
      <t>Citrus limon</t>
    </r>
    <r>
      <rPr>
        <sz val="12"/>
        <color rgb="FFFF0000"/>
        <rFont val="Calibri"/>
        <family val="2"/>
      </rPr>
      <t xml:space="preserve"> (L.) Osbeck</t>
    </r>
  </si>
  <si>
    <r>
      <rPr>
        <sz val="12"/>
        <color rgb="FFFF0000"/>
        <rFont val="Calibri"/>
        <family val="2"/>
      </rPr>
      <t>Citron</t>
    </r>
    <r>
      <rPr>
        <sz val="12"/>
        <color theme="1"/>
        <rFont val="Calibri"/>
        <family val="2"/>
      </rPr>
      <t xml:space="preserve">
Vangasay
</t>
    </r>
    <r>
      <rPr>
        <sz val="12"/>
        <color rgb="FFFF0000"/>
        <rFont val="Calibri"/>
        <family val="2"/>
      </rPr>
      <t>Voasary Makirana</t>
    </r>
  </si>
  <si>
    <t xml:space="preserve">Le Citrus limon Vangasay est cultivé depuis plusieurs générations dans les vergers familiaux, les jardins traditionnels, ou les haies vivantes. Il est très utilisé dans la cuisine malgache (jus, marinade, condiments), ainsi qu’en médecine traditionnelle (remèdes contre la fièvre, toux, digestion). Contrairement aux variétés améliorées, il est moins homogène, mais très résistant et adapté aux conditions locales. 
Vangasay est un nom vernaculaire utilisé dans plusieurs régions de Madagascar pour désigner certains types de citronniers traditionnels, souvent rustiques et très aromatiques. Le Vangasay est une forme locale de citron acide, à fruits souvent petits, à zeste épais et parfumé, avec une bonne acidité. Il s’agit donc d’une forme locale de Citrus limon non améliorée, parfois spontanée ou issue de semis traditionnels.
</t>
  </si>
  <si>
    <t>S’adapte de 0 à 1 200 m, mais préfère les zones de basse et moyenne altitude (200 à 800 m).</t>
  </si>
  <si>
    <t>Sols légers à moyens, bien drainés, modérément riches en matière organique. Tolère les sols pauvres, légèrement acides à neutres (pH entre 5,5 et 7).</t>
  </si>
  <si>
    <t>Idéal entre 20 et 30°C. Il supporte la chaleur, mais craint le gel.</t>
  </si>
  <si>
    <t>Pluviométrie annuelle de 1 000 à 1 400 mm. Nécessite un arrosage régulier en saison sèche pour une bonne fructification.</t>
  </si>
  <si>
    <t>Climat tropical humide ou subhumide, avec bonne lumière, et alternance de saisons sèches et pluvieuses pour stimuler la floraison.</t>
  </si>
  <si>
    <t>Plantation en début de saison des pluies (novembre à janvier)</t>
  </si>
  <si>
    <t>Espacement de 5 à 6 mètres, soit 300 à 400 arbres/ha.</t>
  </si>
  <si>
    <t>Plante</t>
  </si>
  <si>
    <t xml:space="preserve">– Récolte manuelle
– Fructification irrégulière mais fréquente : 2 à 3 pics par an, selon les pluies
– Maturité : fruit jaune pâle à vert clair, peau granuleuse, pulpe très acide
</t>
  </si>
  <si>
    <t xml:space="preserve">– Creuser un trou de 50 x 50 x 50 cm
– Ajouter compost ou fumier
– Bon drainage indispensable
</t>
  </si>
  <si>
    <t xml:space="preserve">– Sarclage, paillage
– Taille légère pour aérer la ramure
– Apport de fumier ou compost chaque année
– Irrigation en période sèche
</t>
  </si>
  <si>
    <t>Fumier de zébu ou compost : 20 à 30 kg/arbre/an = 6 à 9 tonnes/ha</t>
  </si>
  <si>
    <t xml:space="preserve">– Dolomie : 100 à 150 g/arbre si sol acide
– Urée (en cas de croissance faible) : 50 à 100 g/arbre/an
</t>
  </si>
  <si>
    <t xml:space="preserve">– Gommose : écoulement gommeux à la base
– Tache noire : pourriture des fruits
→ Lutte : drainage, rotation, décoctions végétales
</t>
  </si>
  <si>
    <t xml:space="preserve">– Mineuse des agrumes : feuilles gondolées
– Cochenilles : taches, branches collantes
– Pucerons : jeunes feuilles déformées
→ Lutte naturelle : purin de neem, taille, pièges
</t>
  </si>
  <si>
    <t>Le Citrus limon Vangasay est une variété paysanne très répandue dans les régions côtières, mais aussi dans les zones rurales des Hautes Terres. Il est peu exploité commercialement, mais joue un rôle central dans l’alimentation locale et dans les remèdes traditionnels. Il représente un patrimoine génétique local précieux, qui mérite d’être préservé et valorisé, notamment par la transformation artisanale (jus naturel, sirop, vinaigre, huiles essentielles) et les projets de filière agrumes dans les circuits courts.</t>
  </si>
  <si>
    <t>Theobroma cacao</t>
  </si>
  <si>
    <t>Forastero</t>
  </si>
  <si>
    <t>Cacao Trinitario</t>
  </si>
  <si>
    <t>Cacao Forastero</t>
  </si>
  <si>
    <t>Le cacao Forastero est originaire de l’Amazonie brésilienne. Il a été introduit à Madagascar dès la fin du XIXe siècle dans la région du Sambirano (Ambanja). Grâce à sa robustesse et à son bon rendement, il est devenu la variété dominante. Aujourd’hui, il représente la grande majorité de la production nationale. Il est surtout cultivé dans les régions Diana, Sofia, et dans certaines zones humides de la région Atsinanana.</t>
  </si>
  <si>
    <t>Entre 0 et 800 mètres d’altitude</t>
  </si>
  <si>
    <t>Sol profond, bien drainé, riche en matière organique. Préfère les sols argilo-limoneux avec un pH entre 6 et 7.</t>
  </si>
  <si>
    <t>Température optimale entre 21°C et 30°C. Sensible aux températures inférieures à 15°C.</t>
  </si>
  <si>
    <t>Besoin élevé en eau, avec une pluviométrie annuelle de 1 500 à 2 500 mm bien répartie. Ne tolère pas de longues périodes de sécheresse.</t>
  </si>
  <si>
    <t>Climat chaud et humide. Nécessite un ombrage naturel ou artificiel. Supporte mal les vents violents.</t>
  </si>
  <si>
    <t xml:space="preserve">En pépinière : semis des graines en fin de saison des pluies (mars-avril)
Mise en place au champ : début de la saison des pluies suivante (novembre-décembre)
</t>
  </si>
  <si>
    <t>Entre 1 000 et 1 100 plants par hectare (espacement de 3 m x 3 m)</t>
  </si>
  <si>
    <t>Utilisation de jeunes plants issus de graines en pépinière
Semence sous forme de plantules greffées ou non
: Environ 3 à 7 kg de graines pour produire les plants nécessaires par hectare</t>
  </si>
  <si>
    <t>Deux campagnes principales par an : principale entre octobre et janvier, secondaire entre mars et juin</t>
  </si>
  <si>
    <t>Défrichement léger, labour superficiel, trous de plantation de 40 x 40 x 40 cm avec apport de compost avant plantation. Prévoir arbres d’ombrage.</t>
  </si>
  <si>
    <t xml:space="preserve">• Désherbage régulier
 • Élagage annuel pour aérer les plants
 • Apport de paillage
 • Taille de formation et de fructification
 • Récolte manuelle soigneuse
</t>
  </si>
  <si>
    <t>5 à 10 tonnes par hectare et par an</t>
  </si>
  <si>
    <t xml:space="preserve">• Capside (punaises) : taches noires, chutes de jeunes cabosses → lutte : traitement insecticide local ou biopesticide
 • Charançon du cacao : trous dans les cabosses → lutte : élimination des débris, traitement localisé
</t>
  </si>
  <si>
    <t xml:space="preserve">Pourriture brune (Phytophthora spp.) : noircissement des cabosses. Lutte par taille sanitaire, traitement fongicide, bon drainage.
Balai de sorcière : déformation des rameaux. Lutte par taille et destruction des parties atteintes.
</t>
  </si>
  <si>
    <t>À Madagascar, la culture du cacao est concentrée dans le nord-ouest, surtout dans la région du Sambirano. Le Forastero est souvent cultivé en agroforesterie avec d’autres espèces pérennes comme les agrumes ou les bananiers pour fournir de l’ombrage. Le cacao malgache est reconnu pour son goût fin, bien qu’il soit encore principalement exporté comme matière première. La filière souffre de problèmes d’accès au marché, de routes d’évacuation, et de fluctuation de prix.</t>
  </si>
  <si>
    <t>Le Trinitario est un hybride naturel entre le Criollo (variété noble) et le Forastero (variété robuste). Il est apparu à Trinité-et-Tobago après une épidémie qui a décimé les Criollo. Introduit à Madagascar dans la région du Sambirano, il est cultivé pour la qualité supérieure de ses fèves, avec un bon équilibre entre arôme et résistance. Ce cacao est très recherché par les chocolatiers haut de gamme.</t>
  </si>
  <si>
    <t>Entre 0 et 600 mètres d’altitude</t>
  </si>
  <si>
    <t>Climat tropical humide, sans stress hydrique prolongé, besoins en ombrage</t>
  </si>
  <si>
    <t xml:space="preserve">Pourriture brune : cabosses brunies et molles. Lutte par traitement fongicide et taille sanitaire.
Balai de sorcière : touffes de rameaux anormaux. Lutte par élimination systématique des parties atteintes.
Anthracnose : taches noires sur feuilles et jeunes cabosses. Lutte préventive avec fongicides bio.
</t>
  </si>
  <si>
    <t xml:space="preserve">Arabica Typica </t>
  </si>
  <si>
    <t>Café Arabica</t>
  </si>
  <si>
    <r>
      <t>Café
Café A</t>
    </r>
    <r>
      <rPr>
        <sz val="12"/>
        <color rgb="FFFF0000"/>
        <rFont val="Calibri"/>
        <family val="2"/>
      </rPr>
      <t>rabica</t>
    </r>
  </si>
  <si>
    <t>Le café Arabica est originaire d’Éthiopie. Il a été introduit à Madagascar au XIXe siècle par les colons français, d’abord dans les Hautes Terres, puis dans les zones d’altitude moyenne. Le Typica est la variété historique la plus cultivée dans les régions de Fianarantsoa, d’Ambohimahasoa, ou d’Itasy. Ce café est reconnu pour son goût doux, son arôme floral, mais il est plus sensible aux maladies que le Robusta.</t>
  </si>
  <si>
    <t xml:space="preserve"> Idéalement entre 900 et 1600 mètres d’altitude</t>
  </si>
  <si>
    <t>Sol profond, léger, bien drainé, riche en matière organique, pH entre 5,5 et 6,5</t>
  </si>
  <si>
    <t>Sol profond, léger, bien drainé, riche en matière organique, pH entre 5,5 et 6,6</t>
  </si>
  <si>
    <t xml:space="preserve">Température optimale entre 15 et 24 °C, avec risques de stress thermique au-dessus de 28 °C
</t>
  </si>
  <si>
    <t>1200 à 2000 mm/an bien répartis avec une courte saison sèche nécessaire à la floraison</t>
  </si>
  <si>
    <t>Climat tropical d’altitude, humide, avec alternance saison sèche-humide marquée</t>
  </si>
  <si>
    <t>En pépinière de novembre à février, plantation en place après 6 à 9 mois, au début de la saison des pluies</t>
  </si>
  <si>
    <t>Environ 2500 à 3000 plants/ha, espacement de 1,5 m x 1 m</t>
  </si>
  <si>
    <t>Plantules issues de graines sélectionnées, en sachet ou godet, 30 kg de graines pour produire les plantules nécessaires à 1 ha</t>
  </si>
  <si>
    <t>Plantules issues de graines sélectionnées, en sachet ou godet, 30 - 40 kg de graines pour produire les plantules nécessaires à 1 ha</t>
  </si>
  <si>
    <t xml:space="preserve">Scolytes du café (petits coléoptères) : petits trous sur les cerises. Lutte par récolte rigoureuse et pièges.
Cochenilles : amas blancs sous les feuilles et sur tiges. Lutte par traitement au savon noir ou insecticide bio.
</t>
  </si>
  <si>
    <t xml:space="preserve">Rouille orangée (Hemileia vastatrix) : taches jaunes orangées sous les feuilles. Lutte par variétés résistantes, élagage, traitements à base de cuivre.
Anthracnose : taches noires sur feuilles et rameaux. Lutte par taille sanitaire et fongicides naturels.
</t>
  </si>
  <si>
    <t>Coffea canephora</t>
  </si>
  <si>
    <t>Le Robusta est originaire des forêts tropicales d’Afrique centrale. Il a été introduit à Madagascar au XXe siècle, surtout dans les régions chaudes et humides de basse altitude comme Sambirano, Atsinanana, Vatovavy-Fitovinany, et Sofia. Le Robusta est plus résistant à la chaleur, aux maladies, et plus productif que l’Arabica, mais son goût est plus fort et plus amer. Il est souvent utilisé pour les mélanges industriels.</t>
  </si>
  <si>
    <t>Café
Café Robusta
Kafe Robusta</t>
  </si>
  <si>
    <t>Robusta</t>
  </si>
  <si>
    <t>Café Robusta</t>
  </si>
  <si>
    <t xml:space="preserve"> Adapté aux altitudes de 0 à 800 mètres</t>
  </si>
  <si>
    <t xml:space="preserve">Optimal entre 24 et 30 °C, tolère des températures jusqu’à 34 °C
</t>
  </si>
  <si>
    <t>Besoins en eau élevés, entre 1500 et 2500 mm/an bien répartis</t>
  </si>
  <si>
    <t>Climat chaud et humide, sensible à la sécheresse prolongée</t>
  </si>
  <si>
    <t>2500 à 3300 plants/ha, selon espacement de 2 m x 1,5 m ou 2 m x 1,2 m</t>
  </si>
  <si>
    <t>Récolte principale de mars à juillet selon les régions ; cueillettes en plusieurs passages</t>
  </si>
  <si>
    <t>Le café Robusta est une culture vivrière et de rente dans plusieurs régions chaudes de Madagascar. Il est plus facile à cultiver que l’Arabica, avec de bons rendements même dans des zones peu techniques. La transformation est encore limitée, et la plupart du café est vendu en cerises ou en café vert sans valeur ajoutée. Les opportunités de structuration de la filière Robusta incluent la valorisation par la transformation locale, la certification et les circuits courts.</t>
  </si>
  <si>
    <t>Défrichage, trous de 40x40x40 cm, enrichis de compost ou fumier</t>
  </si>
  <si>
    <t>Désherbage, sarclage, paillage, taille annuelle, renouvellement des plants tous les 20-25 ans</t>
  </si>
  <si>
    <t>Fumier ou compost : 6 à 8 tonnes/ha</t>
  </si>
  <si>
    <t>Compost ou fumier bien décomposé, 5 à 8 tonnes/ha/an</t>
  </si>
  <si>
    <t>Labour ou travail léger, trous de plantation de 40x40x40 cm, apport de compost ou fumier</t>
  </si>
  <si>
    <t>Stevia rebaudiana</t>
  </si>
  <si>
    <t xml:space="preserve">Non spécifiée </t>
  </si>
  <si>
    <t>La stévia est une plante originaire du Paraguay et du Brésil, connue pour ses feuilles au goût très sucré, mais sans calories. Elle contient des glycosides de stéviol, des composés naturels 300 fois plus sucrants que le sucre. Introduite récemment à Madagascar comme culture alternative à haute valeur ajoutée, elle est cultivée à petite échelle dans les Hautes Terres et dans certaines régions de l’Est. Elle est surtout destinée à l’exportation ou à la transformation artisanale locale.</t>
  </si>
  <si>
    <t>Idéale entre 600 et 1200 mètres</t>
  </si>
  <si>
    <t>Sol léger, bien drainé, riche en matière organique, légèrement acide à neutre (pH entre 6 et 7)</t>
  </si>
  <si>
    <t>Optimal entre 20 et 30 °C ; sensible aux températures inférieures à 10 °C</t>
  </si>
  <si>
    <t>Besoins modérés, environ 1000 à 1500 mm/an, avec bonne répartition ; n’aime pas l’excès d’eau</t>
  </si>
  <si>
    <t>Climat tempéré chaud ou tropical humide, sans périodes de froid intense ; bonne luminosité indispensable</t>
  </si>
  <si>
    <t>En pépinière ou bouturage en août-septembre, plantation en place au début de la saison des pluies (octobre-novembre)</t>
  </si>
  <si>
    <t>Environ 40 000 à 60 000 plants/ha, espacement de 25 à 30 cm entre les plants et 50 à 60 cm entre les lignes</t>
  </si>
  <si>
    <t>Plantules issues de graines ou de boutures (bouturage plus fiable)</t>
  </si>
  <si>
    <t>: Première récolte 3 mois après plantation, puis tous les 3 à 4 mois ; 3 à 4 coupes par an sont possibles</t>
  </si>
  <si>
    <t>Labour léger, amendement organique, buttage possible, désherbage avant plantation</t>
  </si>
  <si>
    <t>Sarclage régulier, paillage, taille après récolte, renouvellement tous les 2 à 3 ans</t>
  </si>
  <si>
    <t>Compost mûr ou fumier décomposé : 5 tonnes/ha/an réparties après chaque coupe</t>
  </si>
  <si>
    <t>La stévia est encore peu développée à Madagascar, mais elle suscite un intérêt croissant pour sa valeur en tant qu’édulcorant naturel. Elle représente une alternative prometteuse dans les zones de moyenne altitude, en rotation avec d’autres cultures. Les contraintes sont le manque de matériel végétal fiable, la difficulté de transformation et la méconnaissance du marché local. La structuration de la filière, la formation des producteurs et l’accès à des débouchés spécialisés sont essentiels pour son développement.</t>
  </si>
  <si>
    <t xml:space="preserve">Dolomie : 400 à 500 kg/ha si sol acide
NPK: 150 à 200 kg/ha après chaque coupe
Urée : 50 kg/ha si besoin (pour stimuler la repousse)
</t>
  </si>
  <si>
    <t xml:space="preserve">Fusariose : flétrissement soudain, brunissement des tiges. Lutte par rotation, plantation saine, drainage.
Oïdium : poudre blanche sur les feuilles. Lutte par décoction d’ail ou traitement au soufre.
</t>
  </si>
  <si>
    <t xml:space="preserve">Pucerons : petites colonies sous les feuilles, affaiblissement. Lutte par savon noir, extraits de neem.
Limaces et chenilles : dévorent les feuilles jeunes. Lutte manuelle ou par biopesticides.
</t>
  </si>
  <si>
    <t>Moringa oleifera</t>
  </si>
  <si>
    <t xml:space="preserve">Locale ou introduite selon la zone </t>
  </si>
  <si>
    <t>Originaire du nord de l’Inde, le moringa est une plante introduite à Madagascar pour ses vertus nutritionnelles et médicinales. Il est utilisé pour ses feuilles riches en protéines, fer, calcium et vitamines, mais aussi ses graines, qui ont des propriétés purificatrices d’eau. Très résistant à la sécheresse, l’ananambo est cultivé aujourd’hui dans plusieurs régions de Madagascar, notamment dans le Sud, l’Ouest et le Centre.</t>
  </si>
  <si>
    <t>Moringa
Ananambo</t>
  </si>
  <si>
    <t>de 0 à 1 200 mètres d’altitude</t>
  </si>
  <si>
    <t>Sols bien drainés, légers, sablo-limoneux ou sablo-argileux, tolérant les sols pauvres</t>
  </si>
  <si>
    <t>Idéale entre 25°C et 35°C</t>
  </si>
  <si>
    <t>Faibles, à partir de 250 mm/an mais optimal entre 600 et 1 000 mm</t>
  </si>
  <si>
    <t>Climat tropical sec, semi-aride à subhumide</t>
  </si>
  <si>
    <t>Fin de saison sèche ou début de saison pluvieuse (septembre à décembre selon la région)</t>
  </si>
  <si>
    <t>De 1 m x 1 m pour culture intensive à 2,5 m x 2,5 m en plantation d’arbres</t>
  </si>
  <si>
    <t xml:space="preserve">Graines entières mûres
Quantité de semence min : 3 kg/ha
Quantité de semence max : 8 kg/ha
</t>
  </si>
  <si>
    <t>Feuilles tous les 2 à 3 mois, graines après 6 à 9 mois</t>
  </si>
  <si>
    <t>Labour ou bêchage profond, désherbage, creusage de trous ou billons si sol argileux</t>
  </si>
  <si>
    <t>Maintenance, entretiens culturaux : Désherbage régulier, taille après la première année pour favoriser le tallage, arrosage si besoin en période sèche</t>
  </si>
  <si>
    <t>Apport de compost ou fumier bien décomposé : 5 à 10 t/ha</t>
  </si>
  <si>
    <t>NPK à raison de 100 kg/ha/an ou compost enrichi + cendre de bois</t>
  </si>
  <si>
    <t xml:space="preserve"> • Mildiou (taches jaunes), solution de bicarbonate ou décoction d’ail
 • Pourriture racinaire en sol trop humide, bien drainer et éviter l’excès d’eau
</t>
  </si>
  <si>
    <t xml:space="preserve">• Chenilles défoliatrices (feuilles trouées), lutte manuelle ou biopesticides
 • Sauterelles (mangeuses de jeunes pousses), lutte mécanique ou neem
</t>
  </si>
  <si>
    <t>L’ananambo est de plus en plus promu comme plante nutritionnelle dans les programmes communautaires (écoles, CSB, ONG). Il s’adapte bien au sud et ouest malgache. Sa culture est peu coûteuse et fortement résiliente face au changement climatique.</t>
  </si>
  <si>
    <t>Manioc
Mangahazo
Basket compost</t>
  </si>
  <si>
    <t>De 0 à 1 500 m</t>
  </si>
  <si>
    <t>Sol léger, bien drainé, sablo-limoneux ou sablo-argileux</t>
  </si>
  <si>
    <t>Idéale entre 20°C et 32°C</t>
  </si>
  <si>
    <t>Entre 500 mm et 1 200 mm/an</t>
  </si>
  <si>
    <t>Tropical subhumide ou sec</t>
  </si>
  <si>
    <t>1 m x 1 m dans chaque trou ou “basket”</t>
  </si>
  <si>
    <t xml:space="preserve">Boutures de tiges de 20 à 30 cm
Quantité de semence min : 8 000 boutures/ha
Quantité de semence max : 10 000 boutures/ha
</t>
  </si>
  <si>
    <t>Arrachage manuel à maturité</t>
  </si>
  <si>
    <t>Marquage au sol, creusage de trous d’environ 40 cm de profondeur, remplissage avec compost mûr (fumier + déchets végétaux), parfois dans des paniers biodégradables (basket compost)</t>
  </si>
  <si>
    <t>Désherbage régulier, sarclage après 2 mois, comblement du sol, surveillance de l’humidité du compost</t>
  </si>
  <si>
    <t xml:space="preserve">Compost ou fumier mûr : 5 à 10 kg par trou
Environ 10 à 15 t/ha
</t>
  </si>
  <si>
    <t>Apport possible de cendres ou 50 kg/ha de NPK si nécessaire</t>
  </si>
  <si>
    <t xml:space="preserve">• Pourriture bactérienne des racines (odeur fétide, ramollissement), éviter l’excès d’humidité
 • Mosaïque du manioc (feuilles déformées), sélection variétale et lutte phytosanitaire
</t>
  </si>
  <si>
    <t xml:space="preserve">• Cochenilles (racines malformées, taches blanches), lutte manuelle ou insecticide naturel
 • Sauterelles et charançons (feuilles rongées), contrôle biologique
</t>
  </si>
  <si>
    <t xml:space="preserve">                             </t>
  </si>
  <si>
    <t xml:space="preserve">Variétés locales </t>
  </si>
  <si>
    <r>
      <rPr>
        <sz val="12"/>
        <color rgb="FFFF0000"/>
        <rFont val="Calibri"/>
        <family val="2"/>
      </rPr>
      <t>Ricin
Castor</t>
    </r>
    <r>
      <rPr>
        <sz val="12"/>
        <color theme="1"/>
        <rFont val="Calibri"/>
        <family val="2"/>
      </rPr>
      <t xml:space="preserve">
Tanatanamanga</t>
    </r>
  </si>
  <si>
    <t>Le ricin est une plante oléagineuse originaire d’Afrique de l’Est, répandue dans toutes les zones tropicales. Il est utilisé traditionnellement à Madagascar pour la production artisanale d’huile médicinale, mais aussi pour ses vertus laxatives et antiparasitaires. Il pousse souvent de manière spontanée sur les friches ou les terrains abandonnés. Récemment, son potentiel économique est redécouvert pour la production d’huile industrielle (huile de ricin) exportable.</t>
  </si>
  <si>
    <t>Le ricin pousse bien entre 0 et 1 800 m d’altitude. Il est adapté aussi bien aux plaines qu’aux hauts plateaux.</t>
  </si>
  <si>
    <t>Il tolère les sols pauvres, sableux ou graveleux, mais préfère les sols légers, bien drainés et riches en matières organiques. Il n’aime pas les sols trop humides.</t>
  </si>
  <si>
    <t>Plante tropicale, elle croît bien entre 20 °C et 35 °C. Elle craint les températures inférieures à 10 °C.</t>
  </si>
  <si>
    <t>Le ricin a besoin de 500 à 1 200 mm de pluie par an. Il supporte assez bien la sécheresse grâce à ses racines profondes.</t>
  </si>
  <si>
    <t xml:space="preserve"> Adapté au climat tropical sec à subhumide. Il peut être cultivé aussi en zones semi-arides.</t>
  </si>
  <si>
    <t>La période idéale se situe au début de la saison des pluies (novembre à janvier), pour permettre un bon démarrage racinaire.</t>
  </si>
  <si>
    <t>: 1 m x 1 m ou 1,5 m x 1 m. On peut planter 6 500 à 10 000 plants à l’hectare.</t>
  </si>
  <si>
    <t xml:space="preserve">Graine
Quantité de semence minimale :20 kg/ha
Quantité de semence maximale : 30 kg/ha
</t>
  </si>
  <si>
    <t>On récolte les capsules à maturité (séchage visible) environ 4 à 6 mois après semis. Récolte manuelle, puis séchage au soleil et battage.</t>
  </si>
  <si>
    <t>Labour profond à 20-25 cm, suivi d’un hersage pour affiner le sol. Désherbage avant le semis. Apport de fumier ou compost conseillé à la plantation.</t>
  </si>
  <si>
    <t>Sarclage et désherbage réguliers surtout dans les 2 premiers mois. Surveiller les attaques de ravageurs. Taille possible pour favoriser la ramification.</t>
  </si>
  <si>
    <t>Compost ou fumier bien décomposé à raison de 5 à 10 tonnes/ha. Application à la plantation ou en poquet.</t>
  </si>
  <si>
    <t xml:space="preserve">• Charbon du ricin (champignon) : déformation des épis. Lutte : rotation culturale et traitement fongique naturel.
 • Pourriture des racines en sol trop humide. Lutte : drainage et plantation sur butte.
</t>
  </si>
  <si>
    <t xml:space="preserve">• Chenilles défoliatrices : elles rongent les feuilles. Lutte : ramassage manuel, utilisation de biopesticides à base de neem.
 • Acariens rouges : provoquent des taches et décolorations. Lutte : décoctions naturelles ou huiles végétales.
</t>
  </si>
  <si>
    <t xml:space="preserve">Prix de vente par kilo de la production :
Entre 800 Ar et 1 500 Ar/kg pour les graines sèches. L’huile peut se vendre à 15 000–20 000 Ar/litre en local.
Le tanatanamanga pousse naturellement dans de nombreuses régions. Peu valorisé commercialement, il est pourtant très prometteur dans les zones sèches comme le Sud, le Vakinankaratra ou l’Itasy. La culture peut être intégrée dans des systèmes agroécologiques, en haies ou en cultures associées. Il possède aussi un rôle médicinal important. Toutefois, attention : les graines sont toxiques si consommées non transformées.
</t>
  </si>
  <si>
    <t xml:space="preserve">Vanilla planifolia Andrews ou vanille Bourbon </t>
  </si>
  <si>
    <t xml:space="preserve">Vanilla planifolia </t>
  </si>
  <si>
    <t>Originaire du Mexique, la vanille a été introduite à Madagascar au XIXe siècle. Grâce à la maîtrise de la pollinisation manuelle par Edmond Albius, sa culture s’est fortement développée dans les zones humides de la côte Est. Aujourd’hui, Madagascar est le premier exportateur mondial de vanille naturelle, représentant plus de 60 % du marché. La vanille malgache est reconnue pour sa qualité, sa richesse en vanilline, et ses arômes puissants.</t>
  </si>
  <si>
    <t>La vanille pousse bien entre 0 et 700 m d’altitude. Au-delà, elle devient moins productive.</t>
  </si>
  <si>
    <t>Sol meuble, riche en humus, bien drainé, légèrement acide à neutre (pH 5,5 à 7), avec une bonne capacité de rétention d’eau mais sans stagnation.</t>
  </si>
  <si>
    <t>La température idéale est entre 20 °C et 32 °C. Elle ne supporte pas les températures inférieures à 15 °C ou les fortes chaleurs supérieures à 35 °C.</t>
  </si>
  <si>
    <t>Pluviométrie optimale entre 1 500 et 2 500 mm/an, bien répartie. Un stress hydrique léger est favorable à l’induction florale.</t>
  </si>
  <si>
    <t>Climat tropical humide à subhumide, avec une alternance saison sèche/saison des pluies bien marquée. Elle nécessite aussi une certaine humidité ambiante (hygrométrie &gt; 80 %).</t>
  </si>
  <si>
    <t>On ne parle pas de semis pour la vanille, car elle se multiplie par bouturage. La mise en place au champ se fait en fin de saison des pluies (mars à mai), pour que la plante s’installe avant la sécheresse.</t>
  </si>
  <si>
    <t>Espacement moyen de 2 m x 2 m, soit environ 2 500 à 3 000 pieds/ha. Elle doit être conduite sur tuteur vivant ou mort (bois ou arbres).</t>
  </si>
  <si>
    <r>
      <t xml:space="preserve">Bouture de vanille qui a déjà fructifiée, 1,5m de long avec 10 mm de diamètre, couleur verte, gros et possède sa fleur,
</t>
    </r>
    <r>
      <rPr>
        <sz val="12"/>
        <color rgb="FFFF0000"/>
        <rFont val="Calibri"/>
        <family val="2"/>
      </rPr>
      <t xml:space="preserve">Quantité de semence min : 2 000 boutures/ha
Quantité de semence max : 3 000 boutures/ha
</t>
    </r>
    <r>
      <rPr>
        <sz val="12"/>
        <color theme="1"/>
        <rFont val="Calibri"/>
        <family val="2"/>
      </rPr>
      <t xml:space="preserve">
</t>
    </r>
  </si>
  <si>
    <t>Les gousses de vanille sont récoltées 6 à 9 mois après la floraison. La floraison a lieu d’octobre à décembre, et la récolte de juin à août. Les gousses sont cueillies une à une à maturité.</t>
  </si>
  <si>
    <t>Nettoyage, désherbage, creusage de trous, apport de compost. Plantation des tuteurs vivants 6 mois avant la mise en place des boutures. Entretien des supports de palissage essentiel.</t>
  </si>
  <si>
    <t xml:space="preserve">• Palissage, tressage et attache régulière des lianes.
 • Taille des tiges après la récolte pour favoriser la floraison suivante.
 • Pollinisation manuelle quotidienne pendant la floraison (très technique).
 • Désherbage et surveillance de l’humidité au pied.
</t>
  </si>
  <si>
    <t>Compost ou fumier bien mûr à raison de 10 à 15 kg par pied, à incorporer au sol autour du pied 1 à 2 fois par an.
10 à 15 tonnes/ha/an</t>
  </si>
  <si>
    <t xml:space="preserve">• NPK à raison de 100 à 150 kg/ha, fractionné.
 • Application possible de dolomie dans les sols acides.
</t>
  </si>
  <si>
    <t xml:space="preserve">• Charançon de la vanille (Systates spp.) : trous dans les tiges, affaiblissement. Lutte : collecte manuelle, pièges, rotation.
 • Limaces et escargots : rongent les jeunes pousses. Lutte : barrières, cendre, ramassage nocturne.
</t>
  </si>
  <si>
    <t xml:space="preserve"> • Fusariose (pourriture des racines) : flétrissement soudain, taches noires. Lutte : éviter l’excès d’humidité, sol bien drainé, boutures saines.
 • Anthracnose : taches sombres sur les gousses. Lutte : décoction de prêle ou traitement au soufre.
</t>
  </si>
  <si>
    <t xml:space="preserve">La vanille produit pendant 10 à 15 ans, avec un pic de rendement entre la 4ᵉ et la 8ᵉ année.
Après transformation (échaudage, étuvage, séchage), le poids est réduit d’environ 70 %. Donc 1 tonne de vanille verte donne environ 300 kg de vanille noire prête à l’exportation.
Madagascar est reconnu mondialement pour la qualité de sa vanille. Les régions de la SAVA (Sambava, Antalaha, Vohémar, Andapa) concentrent l’essentiel de la production nationale. La culture demande beaucoup de main-d’œuvre et de soin, mais elle constitue une source de revenus majeure pour les petits producteurs. Le respect des normes post-récolte est essentiel pour valoriser la production sur les marchés export.
</t>
  </si>
  <si>
    <t>Pisum sativum</t>
  </si>
  <si>
    <t>Variétés locales et importées adaptées aux hautes terres, comme les variétés “Douce Provence”, “Wando”</t>
  </si>
  <si>
    <r>
      <t xml:space="preserve">Petit pois, </t>
    </r>
    <r>
      <rPr>
        <sz val="12"/>
        <color rgb="FFFF0000"/>
        <rFont val="Calibri"/>
        <family val="2"/>
      </rPr>
      <t>pois lisse</t>
    </r>
  </si>
  <si>
    <t>Petit pois, pois lisse</t>
  </si>
  <si>
    <t>Le petit pois est une légumineuse originaire de l’Asie mineure. Il a été introduit à Madagascar par les colons, et s’est répandu principalement dans les régions des Hautes Terres, où les conditions climatiques sont plus fraîches. C’est une culture très appréciée pour ses gousses fraîches et ses graines riches en protéines, notamment dans l’alimentation urbaine et la transformation artisanale ou industrielle. Elle joue aussi un rôle dans l’amélioration de la fertilité des sols grâce à sa capacité à fixer l’azote.</t>
  </si>
  <si>
    <t>Le petit pois est bien adapté aux hautes altitudes, entre 900 m et 2 000 m. Il donne de meilleurs rendements au-dessus de 1 200 m.</t>
  </si>
  <si>
    <t>Il préfère les sols profonds, bien drainés, riches en matière organique, à texture limono-sableuse ou sableuse, avec un pH neutre à légèrement acide (6 à 7). Les sols trop acides ou trop humides favorisent les maladies racinaires.</t>
  </si>
  <si>
    <t>Température idéale entre 15 °C et 25 °C. Il ne supporte pas les fortes chaleurs prolongées ni les gels intenses.</t>
  </si>
  <si>
    <t>Besoins modérés : entre 400 mm et 700 mm bien répartis pendant le cycle. Trop d’humidité favorise les maladies, et le stress hydrique en floraison réduit le rendement.</t>
  </si>
  <si>
    <t>Climat tempéré, frais, subhumide. Culture typique des zones d’altitude de l’intérieur du pays, particulièrement adaptée à la saison sèche fraîche des Hautes Terres.</t>
  </si>
  <si>
    <t>De mars à mai dans les Hautes Terres, selon les premières pluies et les températures. En zone plus fraîche, un semis plus précoce est possible.</t>
  </si>
  <si>
    <t>Espacement recommandé : 30 cm entre les lignes et 5 à 10 cm entre les plants sur la ligne. Cela correspond à 250 000 à 300 000 plants par hectare.</t>
  </si>
  <si>
    <t>Semis direct avec graines sèches. Il est conseillé d’utiliser des semences certifiées ou triées manuellement, saines et bien conservées.</t>
  </si>
  <si>
    <t>La récolte commence à partir de 70 jours après semis, généralement en deux ou trois passages. Elle se fait manuellement, tôt le matin, lorsque les gousses sont bien formées mais encore tendres.</t>
  </si>
  <si>
    <t>Labour ou bêchage à 20 cm de profondeur, suivi d’un hersage ou d’un affinage. Apport de compost à la préparation, et nivellement. Il est essentiel d’éviter les zones asphyxiantes ou trop compactes.</t>
  </si>
  <si>
    <t xml:space="preserve">• Désherbage régulier, surtout au démarrage
 • Buttage léger à la floraison pour stabiliser la plante
 • Palissage possible pour les variétés grimpantes
 • Surveillance des maladies et ravageurs pendant la floraison et le remplissage des gousses
</t>
  </si>
  <si>
    <t>Compost mûr ou fumier bien décomposé, à raison de 5 à 10 tonnes/ha, incorporé 2 à 3 semaines avant semis.</t>
  </si>
  <si>
    <t xml:space="preserve"> • Oidium (poudre blanche sur feuilles). Lutte : décoction de prêle ou soufre mouillable
 • Anthracnose : taches sombres sur gousses. Lutte : rotation, semence saine
 • Fonte des semis (Pythium) : flétrissement des jeunes plants. Lutte : sol bien drainé, traitement semence avec cendre ou biofongicide
</t>
  </si>
  <si>
    <t xml:space="preserve">• Pucerons (Aphis fabae) : colonisent les jeunes tiges, provoquent un affaiblissement. Lutte : savon insecticide, neem
 • Bruches : attaquent les graines après récolte. Lutte : séchage et stockage hermétique
 • Chenilles et noctuelles : perforent les gousses. Lutte : ramassage, biopesticides
</t>
  </si>
  <si>
    <t>Le petit pois est une culture saisonnière d’altitude, cultivée dans les régions de l’Itasy, Vakinankaratra, Analamanga et Haute Matsiatra. Il est très demandé sur les marchés urbains, en frais ou transformé. Il est souvent intégré dans des systèmes de cultures maraîchères ou avec des céréales. Sa culture est rentable, mais exigeante en main-d’œuvre pendant la récolte. Elle contribue à la diversification alimentaire et à la fertilité des sols, notamment en association avec d’autres cultures.</t>
  </si>
  <si>
    <t>Cocos</t>
  </si>
  <si>
    <t>Cocos nucifera</t>
  </si>
  <si>
    <t>Il y a les  Variétés grandes tailles ex. : West African Tall, East African Tall et les Variétés naines ex. : Dwarf Green, Dwarf Yellow</t>
  </si>
  <si>
    <r>
      <rPr>
        <sz val="12"/>
        <color rgb="FFFF0000"/>
        <rFont val="Calibri"/>
        <family val="2"/>
      </rPr>
      <t>Coco</t>
    </r>
    <r>
      <rPr>
        <sz val="12"/>
        <color theme="1"/>
        <rFont val="Calibri"/>
        <family val="2"/>
      </rPr>
      <t xml:space="preserve">
Farihazo</t>
    </r>
  </si>
  <si>
    <t>Coco
Farihazo</t>
  </si>
  <si>
    <t>Le cocotier est originaire d’Asie du Sud-Est et s’est répandu dans toutes les zones tropicales du monde. Il est implanté à Madagascar depuis des siècles, en particulier le long des côtes Est, Nord et Nord-Ouest. Le cocotier est une culture vivrière, industrielle et artisanale. Il est cultivé pour ses fruits (noix de coco), son huile, ses fibres, son eau, son bois et même ses feuilles. Il joue un rôle important dans l’économie locale des régions côtières.</t>
  </si>
  <si>
    <t>Pousse bien jusqu’à 300 m d’altitude. Les meilleures productions sont en bord de mer, en zones basses.</t>
  </si>
  <si>
    <t>Sol sablonneux ou sableux-argileux, bien drainé, profond, riche en matière organique, tolérant à la salinité. Le cocotier aime les sols légers mais fertiles, avec une bonne capacité de rétention d’eau. Le pH optimal est entre 5,5 et 7,5.</t>
  </si>
  <si>
    <t>Température idéale entre 25 °C et 30 °C. Il ne supporte pas le froid (en dessous de 15 °C) ni les gelées.</t>
  </si>
  <si>
    <t>Besoins élevés : 1 200 à 2 500 mm/an, bien répartis. Il tolère les sécheresses légères mais reste plus productif avec une bonne disponibilité en eau.</t>
  </si>
  <si>
    <t>Climat tropical humide à subhumide, idéalement en bord de mer. Le cocotier aime les climats chauds, ensoleillés, et supporte les embruns salins.</t>
  </si>
  <si>
    <t>La mise en pépinière se fait toute l’année dans les régions humides, mais de préférence en saison des pluies. La mise en place définitive se fait après 6 à 8 mois, quand les plants sont bien formés.</t>
  </si>
  <si>
    <t>Espacement classique : 9 m x 9 m (en triangle), soit environ 120 à 140 pieds/ha</t>
  </si>
  <si>
    <t xml:space="preserve">
Noix de coco mûres sélectionnées. Chaque noix produit un plant après germination en pépinière.
Quantité de semence minimale : 150 noix/ha
Quantité de semence maximale : 200 noix/ha 
 </t>
  </si>
  <si>
    <t>Plants</t>
  </si>
  <si>
    <t xml:space="preserve">Toute l’année, tous les 30 à 45 jours selon les zones. Environ 10 à 20 régimes (grappes) par an et par palmier.
Rendement minimum :
3 000 noix/ha/an (production extensive ou traditionnelle)
Rendement maximum :
Jusqu’à 15 000 noix/ha/an en plantation bien conduite avec irrigation
</t>
  </si>
  <si>
    <t>Défrichage, labour ou sous-solage, piquetage des trous (60 cm x 60 cm x 60 cm). Apport de compost et terreau dans chaque trou avant plantation.</t>
  </si>
  <si>
    <t xml:space="preserve">• Désherbage autour du pied 3 à 4 fois par an
 • Comblement des trous si tassement
 • Surveillance contre les maladies et ravageurs
 • Nettoyage des régimes secs
 • Apport de paillis pour maintenir l’humidité
</t>
  </si>
  <si>
    <t xml:space="preserve">Compost, fumier, coques décomposées, à raison de 20 à 40 kg par pied, deux fois par an
soit 5 à 8 tonnes/ha/an
</t>
  </si>
  <si>
    <t xml:space="preserve">• NPK: 300 à 500 g/pied/an, fractionnés en 2 apports : 50KG
 • En sol acide, ajout de dolomie (50 à 100 g/pied) : 30 Kg
</t>
  </si>
  <si>
    <t xml:space="preserve">• Charançon du cocotier (Rhynchophorus ferrugineus) : trou dans le stipe, affaissement. Lutte : piégeage, élimination des palmiers atteints
 • Scolytes et acariens : feuilles décolorées, dessèchement. Lutte : décoctions végétales, taille préventive
 • Rongeurs (rats) : mangent les jeunes fruits. Lutte : piégeage, protection mécanique
</t>
  </si>
  <si>
    <t xml:space="preserve">• Jaunissement mortel : jaunissement des palmes, chute des noix. Lutte : surveillance sanitaire, élimination des plants infectés
 • Pourriture du collet : affaissement, nécrose à la base. Lutte : drainage, désinfection, sélection variétale
</t>
  </si>
  <si>
    <t xml:space="preserve">Cinnamomum camphora </t>
  </si>
  <si>
    <t>À Madagascar, la variété utilisée est spécifique pour son huile essentielle riche en 1,8-cinéole (et non en camphre comme dans les autres pays)</t>
  </si>
  <si>
    <r>
      <t xml:space="preserve">
</t>
    </r>
    <r>
      <rPr>
        <sz val="12"/>
        <color rgb="FFFF0000"/>
        <rFont val="Calibri"/>
        <family val="2"/>
      </rPr>
      <t>Originaire d’Asie de l’Est (Japon, Chine, Taïwan), le camphrier a été introduit à Madagascar il y a plus d’un siècle. Cependant, c’est dans le contexte malgache que cette espèce a muté chimiquement vers un chémotype riche en 1,8-cinéole (eucalyptol), très recherché en aromathérapie. Ce chémotype est aujourd’hui reconnu mondialement comme “ravintsara”, différent du camphrier asiatique traditionnel. Sa culture est surtout développée dans la région d’Analamanga, Haute Matsiatra, Vatovavy, Atsimo-Atsinanana et autour de Fianarantsoa.</t>
    </r>
    <r>
      <rPr>
        <sz val="12"/>
        <color rgb="FF000000"/>
        <rFont val="Calibri"/>
        <family val="2"/>
      </rPr>
      <t xml:space="preserve">
</t>
    </r>
  </si>
  <si>
    <t>Il pousse idéalement entre 800 et 1 500 m d’altitude, en zones subhumides à humides.</t>
  </si>
  <si>
    <t>Il préfère les sols légers, bien drainés, riches en humus, à texture limono-sableuse ou sableuse, avec un pH neutre à légèrement acide. Éviter les sols hydromorphes ou trop compacts.</t>
  </si>
  <si>
    <t>Température optimale de croissance entre 18 °C et 28 °C. Il craint les fortes chaleurs &gt; 32 °C prolongées, ainsi que les températures inférieures à 5 °C.</t>
  </si>
  <si>
    <t>Pluviométrie annuelle requise de 1 200 à 2 000 mm/an, bien répartie. L’arbre est relativement tolérant aux sécheresses de courte durée.</t>
  </si>
  <si>
    <t>Climat tropical humide à subhumide, adapté aux Hautes Terres avec une humidité ambiante suffisante.</t>
  </si>
  <si>
    <t>Multiplication principalement par bouturage ou marcottage, de préférence à la fin de la saison des pluies (mars à mai). On peut aussi utiliser des plants issus de graines semées en pépinière, mais les caractéristiques chimiques peuvent varier.</t>
  </si>
  <si>
    <t>3 m × 3 m ou 4 m × 4 m, soit entre 625 à 1 100 arbres/ha.</t>
  </si>
  <si>
    <t xml:space="preserve">• Jeunes plants en pot ou en motte, issus de boutures ou de graines sélectionnées
 • Sélectionner des plants issus d’arbres certifiés riche en 1,8-cinéole
</t>
  </si>
  <si>
    <t xml:space="preserve">Récolte possible des feuilles à partir de 18 à 24 mois
Production durable pendant 30 à 40 ans, avec des récoltes tous les 6 à 12 mois
Les feuilles et jeunes rameaux sont récoltés manuellement ou à la faucille. La première coupe intervient généralement après 18 à 24 mois, puis ensuite tous les 6 à 8 mois. Le feuillage est ensuite distillé à la vapeur pour extraire l’huile essentielle.
</t>
  </si>
  <si>
    <t>Défrichage, labour ou sous-solage léger, trous de plantation de 30 x 30 x 30 cm enrichis avec du compost. Prévoir des bandes anti-érosion en pente.</t>
  </si>
  <si>
    <t xml:space="preserve">Maintenance, entretiens culturaux :
 • Désherbage manuel ou paillage
 • Taille douce des branches pour favoriser la repousse foliaire
 • Sarclage régulier autour du pied
 • Surveillance de l’état sanitaire et de la vigueur
</t>
  </si>
  <si>
    <t>Compost ou fumier décomposé : 5 à 10 kg/pied, 1 à 2 fois par an. Application autour de la base du tronc sans contact direct: 3 à 6 tonnes/ha/an</t>
  </si>
  <si>
    <t xml:space="preserve">• Taches foliaires (champignons) : taches brunâtres sur les feuilles. Lutte : élagage, amélioration de l’aération, décoction d’ail ou bicarbonate
 • Pourriture des racines (en cas d’humidité excessive). Lutte : drainage, éviter les excès d’eau
</t>
  </si>
  <si>
    <t xml:space="preserve">• Pucerons : attaque les jeunes pousses. Lutte : savon insecticide, neem
 • Cochenilles : ralentissent la croissance. Lutte : décoctions de tabac ou neem
 • Sauteriaux ou chenilles : mangent les feuilles. Lutte : ramassage manuel ou traitement à base de biopesticides
</t>
  </si>
  <si>
    <t xml:space="preserve">La ravintsara malgache est mondialement réputée pour sa teneur élevée en 1,8-cinéole (&gt;50 %), avec des propriétés antivirales, immunostimulantes et expectorantes très recherchées. Madagascar est le principal exportateur de cette huile sur le marché mondial. La production reste toutefois fragile, confrontée aux variations climatiques, à l’irrégularité de la distillation, et au manque d’encadrement technique. La culture peut être intégrée dans les systèmes agroforestiers, avec des cultures annuelles, des haies vives ou des bandes boisées.
L’huile essentielle de Ravintsara s’extrait à partir de la collecte des feuilles de l’arbre. Une distillation de deux à trois heures s’effectue ensuite, après séchage de quelques heures à 48 heures. Les récoltes peuvent se faire toute l’année.
Prix de vente par kilo de la production :
 • Feuilles fraîches : 100 à 300 Ar/kg (marché local)
 • Huile essentielle de ravintsara : entre 250 000 Ar et 500 000 Ar/kg, selon qualité, certification, et export
</t>
  </si>
  <si>
    <t xml:space="preserve">
Patate douce Mahafaly
Vomanga
VomangaMahafaly</t>
  </si>
  <si>
    <t>Patate douce Sihanaka
Vomanga
Vomanga Sihanaka</t>
  </si>
  <si>
    <t>Patate douce Menahatoke
Vomanga
Vomanga Menahatoke</t>
  </si>
  <si>
    <t>Patate douce karoty
Vomanga
Vomanga Karoty</t>
  </si>
  <si>
    <t>• Var. locale améliorée similaire à IRAT 204, mais sélectionnée pour conditions locales spécifiques.
 • Hypothèses techniques et agronomiques proches d’IRAT 204.
 • Rendement cible : 3–4 t/ha.
 • Association recommandée identique (niébé, dolique, pois de terre…).
 • Conditions optimales : semi-aride, sol pauvre toléré, semis dès pluies, fumure et insecticide selon besoin.</t>
  </si>
  <si>
    <r>
      <rPr>
        <sz val="12"/>
        <color rgb="FFFF0000"/>
        <rFont val="Calibri"/>
        <family val="2"/>
      </rPr>
      <t>Ananas
Ananas Queen</t>
    </r>
    <r>
      <rPr>
        <sz val="12"/>
        <color theme="1"/>
        <rFont val="Calibri"/>
        <family val="2"/>
      </rPr>
      <t xml:space="preserve">
Mananasy</t>
    </r>
  </si>
  <si>
    <r>
      <rPr>
        <sz val="12"/>
        <color rgb="FFFF0000"/>
        <rFont val="Calibri"/>
        <family val="2"/>
      </rPr>
      <t>Ananas
Ananas Cayenne Lisse</t>
    </r>
    <r>
      <rPr>
        <sz val="12"/>
        <color theme="1"/>
        <rFont val="Calibri"/>
        <family val="2"/>
      </rPr>
      <t xml:space="preserve">
Mananasy</t>
    </r>
  </si>
  <si>
    <t>Rendement maximal à Madagascar :
 • 30 à 35 t/ha
Conditions optimales :
 • Climat tempéré frais, 14–20°C, zones d’altitude
 • Altitude : 1 200 à 2 000 m
 • Sol léger, profond, bien structuré, pH 5,5 à 6,8
 • Pluviométrie : 900 à 1 200 mm/an
 • Fertilisation : compost + NPK fractionné
 • Espacement : 75 x 30 cm sur buttes
 • Cycle végétatif : 90 à 105 jours
 • Variété résistante au mildiou (avantage agronomique)
Association culturale possible :
 • Avoine, pois, oignon, carotte (associations rotatives ou intercalaires)
Hypothèses :
 1. Si Miova est plantée en zone fraîche avec apport équilibré de compost et engrais minéraux, alors elle atteint 35 t/ha.
 2. Si le cycle cultural est suivi de près et la lutte contre le mildiou renforcée, alors la culture est productive et stable.
 3. Si les coopératives de producteurs accèdent à la semence certifiée, alors la rentabilité est optimisée.
 4. Si elle est diffusée dans les zones à forte altitude par des projets agricoles, alors l’adoption se généralise.
 5. Si elle est cultivée en rotation avec avoine ou pois, alors elle améliore la structure du sol et réduit la pression des maladies.
 6. Si elle est intégrée à la filière nutritionnelle dans les zones à insécurité alimentaire, alors elle améliore les apports en glucides complexes.</t>
  </si>
  <si>
    <r>
      <rPr>
        <sz val="12"/>
        <color rgb="FFFF0000"/>
        <rFont val="Calibri"/>
        <family val="2"/>
      </rPr>
      <t xml:space="preserve">Le sorgho, ou gros mil, est la céréale africaine de plus large distribution et consommation, dans toutes les zones de savanes
La variété de sorgho IRAT 204, originaire d'Afrique est introduite à Madagascar pour répondre aux conditions climatiques difficiles, notamment dans les régions arides du sud comme l’Androy. Elle est particulièrement adaptée aux zones sujettes à la sécheresse et aux sols pauvres.
Utilisations
 • Alimentation humaine : Les grains peuvent être consommés sous forme de bouillies ou réduits en farine pour la préparation de galettes.
 • Alimentation animale : Utilisable comme fourrage après la floraison, période à laquelle les substances toxiques présentes dans les jeunes plants disparaissent.
 • Amélioration du sol : Contribue au décompactage et à l’amélioration de la structure du sol grâce à son système racinaire profond. 
La variété IRAT 204 est conseillée en raison de sa productivité, sa précocité, sa résistance à la sécheresse, sa petite taille, son fort tallage et sa non photopériodicité qui rend sa culture possible
tout au long de l’année
</t>
    </r>
    <r>
      <rPr>
        <sz val="12"/>
        <color rgb="FF000000"/>
        <rFont val="Calibri"/>
        <family val="2"/>
      </rPr>
      <t xml:space="preserve">Année d’obtention: 1980
</t>
    </r>
  </si>
  <si>
    <r>
      <t xml:space="preserve">Originaire d'Hawaï, c'est variété développée à partir de la variété Solo, elle est une variété compacte de papaye, atteignant environ 1,5 à 2,5m de hauteur avec un tronc droit et robuste. Ses feuilles grandes et lobées, sont d'un vert foncé, et la plante présente un port plus dense. Les fruits de forme piriforme, pèsent entre 350 et500g, avec une peau jaune à maturité et une chair rouge saumon, sucrée et juteuse. C'est une variété hermaphrodite ce qui garantit une pollinisation interne efficace.
</t>
    </r>
    <r>
      <rPr>
        <sz val="12"/>
        <color rgb="FFFF0000"/>
        <rFont val="Calibri"/>
        <family val="2"/>
      </rPr>
      <t>Elle est reconnue mondialement et cultivée dans plusieurs pays tropicaux.</t>
    </r>
  </si>
  <si>
    <t>Le manioc est une culture traditionnelle de base à Madagascar. La technique du “basket compost” consiste à cultiver le manioc dans des poches de sol amendé avec du compost et du fumier, souvent dans des zones à faible fertilité, ou en contexte d’agriculture familiale et périurbaine. Cette méthode permet d’augmenter les rendements et de restaurer les sols pauvres.</t>
  </si>
  <si>
    <r>
      <t xml:space="preserve"> Rendement maximal à Madagascar : jusqu’à 7,5t/ha atteint avec les</t>
    </r>
    <r>
      <rPr>
        <b/>
        <u/>
        <sz val="12"/>
        <color rgb="FFFF0000"/>
        <rFont val="Calibri"/>
        <family val="2"/>
      </rPr>
      <t xml:space="preserve"> conditions optimales </t>
    </r>
    <r>
      <rPr>
        <sz val="12"/>
        <color rgb="FFFF0000"/>
        <rFont val="Calibri"/>
        <family val="2"/>
      </rPr>
      <t xml:space="preserve">: sol frais, profond, pH ~6‑7, altitude basse plaine (&lt;800 m), pluviométrie régulière ≥1 200 mm/an, fertilisation organique + NPK, semis précoce dès première pluie, sarclage/ buttage, semences certifiée et traitées.
Rotation/association : maïs + niébé, dolique ou mucuna: améliore la  fertilité/ mais + haricot : possède un grand impact à l'augmentation du rendement de la production à raison de l'association symbiotique racinaire.
</t>
    </r>
  </si>
  <si>
    <r>
      <t xml:space="preserve">
</t>
    </r>
    <r>
      <rPr>
        <sz val="12"/>
        <color rgb="FFFF0000"/>
        <rFont val="Calibri"/>
        <family val="2"/>
      </rPr>
      <t xml:space="preserve">Madagascar est soumise à des conditions climatiques variables, et les agriculteurs locaux adaptent souvent leurs pratiques en fonction de leur emplacement spécifique. Par conséquent, il est recommandé de consulter les experts agricoles locaux et les services de vulgarisation agricole pour obtenir des informations plus détaillées et spécifiques à une région donnée </t>
    </r>
  </si>
  <si>
    <t xml:space="preserve"> Rendement maximal à Madagascar : jusqu’à 5–6 t/ha atteint avec  les conditions optimales : sol profond et riche, altitude &lt; 800 m, pluviométrie &gt; 1 200 mm/an, irrigation si possible, fertilisation complète, semis précoce, sarclage ≈20 jours après semis, semences améliorées et traitées.
Rotation/association : association en saison avec niébé ou dolique, en contre‑saison avec mucuna; l' association culturale entre le mais et l'haricot possède aussi un grand impact à l'augmentation du rendement de la production à raison de l'association symbiotique racinaire.
</t>
  </si>
  <si>
    <t>Rendement maximal à Madagascar : estimé 6 t/ha atteint avec  les conditions optimales : sol profond et riche, altitude &lt; 800 m, pluviométrie &gt; 1 200 mm/an, irrigation si possible, fertilisation complète, semis précoce, sarclage ≈20 jours après semis, semences améliorées et traitées.
Rotation/association : association en saison avec niébé ou dolique, en contre‑saison avec mucuna; l' association culturale entre le mais et l'haricot possède aussi un grand impact à l'augmentation du rendement de la production à raison de l'association symbiotique racinaire.</t>
  </si>
  <si>
    <t>Rendement maximal à Madagascar : estimé 5 t/ha atteint avec  les conditions optimales : sol profond et riche, altitude &lt; 800 m, pluviométrie &gt; 1 200 mm/an, irrigation si possible, fertilisation complète, semis précoce, sarclage ≈20 jours après semis, semences améliorées et traitées.
Rotation/association : association en saison avec niébé ou dolique, en contre‑saison avec mucuna; l' association culturale entre le mais et l'haricot possède aussi un grand impact à l'augmentation du rendement de la production à raison de l'association symbiotique racinaire.</t>
  </si>
  <si>
    <t>Rendement maximal à Madagascar 1,5 t/ha atteint avec les conditions optimales : climat semi-aride (&lt;700 mm/an), sol bien ameubli, semis dès 1ère pluie, fumure organique, fumigation contre ravageurs.
Rotation/association : associe bien à niébé, dolique, pois de terre, cajanus, stylosanthes, brachiaria. Succession sorgho-sorgho à éviter.</t>
  </si>
  <si>
    <t xml:space="preserve">Rendement maximal à Madagascar 2,5 t/ha atteint avec les conditions optimales : climat semi-aride (&lt;700 mm/an), sol bien ameubli, semis dès 1ère pluie, fumure organique, fumigation contre ravageurs.
Rotation/association : associe bien à niébé, dolique, pois de terre, tous les légumineuses fixatrices, cajanus, stylosanthes, brachiaria. Succession sorgho-sorgho à éviter.
</t>
  </si>
  <si>
    <t>Rendement maximal espéré à Madagascar 2,5 t/ha atteint avec les conditions optimales : climat semi-aride (&lt;700 mm/an), sol bien ameubli, semis dès 1ère pluie, fumure organique, fumigation contre ravageurs.
Rotation/association : associe bien à niébé, dolique, pois de terre, tous les légumineuses fixatrices, cajanus, stylosanthes, brachiaria. Succession sorgho-sorgho à éviter.</t>
  </si>
  <si>
    <t xml:space="preserve"> Légume-feuille à haute valeur nutritionnelle, riche en vit. C, fibres.</t>
  </si>
  <si>
    <t xml:space="preserve">Rendement maximal à Madagascar : jusqu’à 30–40 t/ha en condition maraîchère bien encadrée.
 Conditions optimales : sol riche, frais, pH 6‑7, climat tempéré (15‑20 °C optimal), altitude moyenne (800‑1 600 m). irrigation régulière, amendement organique élevé, semis denses en pépinière puis repiquage, protection phytosanitaire adaptée (protection contre limaces et fourmis), semences maraîchères de qualité, fertilisation azotée régulière, paillage. 
Rotation/association : bon associé au laitue, rotation avec légumineuses pour éviter Solanacées consécutives.
</t>
  </si>
  <si>
    <t>Rendement maximal à Madagascar : 10 t/ha en conditions optimales : semences certifiées, semis direct sur sol finement émietté, sarclage à 2–3 feuilles, sol léger, sableux ou sablo‑limoneux, bien drainé, sans pierres, pH neutre, altitude 800–1 600 m, pluviométrie bien répartie ou irrigation, semis après froid relatif, fumure organique légère.
Rotation/association : rotation avec laitue, chou; association possible avec des plantes aromatiques pour contrôle phytosanitaire.</t>
  </si>
  <si>
    <t>Rendement maximal à Madagascar : 10 t/ha selon qualité du sol et techniques maraîchères.
 Conditions optimales : sol sablo‑humifère sans cailloux, irrigation régulière, température 15–20 °C, cycle long, fumure organique modérée.
Rotation/association : rotation avec légumineuses, légumes feuille ou aromatiques.</t>
  </si>
  <si>
    <r>
      <t xml:space="preserve">Pour le calcul, on a pris le mode de calcul </t>
    </r>
    <r>
      <rPr>
        <b/>
        <sz val="12"/>
        <color rgb="FFFF0000"/>
        <rFont val="Calibri"/>
        <family val="2"/>
      </rPr>
      <t>avec pépinière</t>
    </r>
    <r>
      <rPr>
        <sz val="12"/>
        <color rgb="FFFF0000"/>
        <rFont val="Calibri"/>
        <family val="2"/>
      </rPr>
      <t xml:space="preserve"> : besoin de 2 kg de semences (400,000 MGA) , mais si on a fait le semis direct, on aura besoin de 13,5 KG de semences (2,700,000 MGA)
 Très demandé localement et pour marché export (La Réunion, Comores), rentable si rendement &gt; 15 t/ha et conservation garantie.</t>
    </r>
  </si>
  <si>
    <t>Rendement maximal à Madagascar : 25t/ha en bon terroir maraîcher.
Conditions optimales : altitude modérée, sol sableux‑limoneux, irrigation contrôlée, ensoleillement complet, peu d’engrais organiques à l’installation puis fertilisation modérée, traitement fongicide insecticide ponctuel.
  Rotation/association : rotation stricte avec non‑Solanacées ou Alliacées, jachère minimale après oignon pour éviter maladies.</t>
  </si>
  <si>
    <t>Rendement maximal à Madagascar : autour de 25 t/ha.
 Conditions optimales : sol léger et ventilé, drainage, irrigation contrôlée, semis en saison sèche modérée,  climat chaud, humidité importante, gestion parasitaire proactive.
 Rotation/association : alternance Oignon‑Poivron ou autres légumes fruits pour diversification.</t>
  </si>
  <si>
    <t xml:space="preserve">Rendement maximal à Madagascar : environ 10 t/ha selon conditions de maraîchage intensif.
 • Conditions optimales : sol léger, riche, pH 6‑7,  climat tempéré, sol frais et bien drainé, fertilisation azotée légère, irrigation régulière, support pour variété grimpante, fertilisation azotée équilibrée, récoltes fréquentes.
Rotation / association : bon en association avec laitue.
</t>
  </si>
  <si>
    <t>Valorisé sur marchés urbains frais ou agro-bio ; prix élevé pour les gousses de qualité.</t>
  </si>
  <si>
    <t xml:space="preserve">• Rendement maximal à Madagascar : entre 0,8 et 1,2 t/ha, en culture traditionnelle bien conduite.
 • Conditions optimales : climat chaud (20‑28 °C), pluviométrie modérée à régulière (~700‑1 000 mm/an), sol profond, bien drainé et pauvre en sels (pH 6‑7), altitude basse à moyenne (&lt; 1 200 m), semis direct avec fertilisation légère.
 • Association culturale idéale : associé au maïs ou à la patate douce en culture intercalaire ou en rotation.( le pois du Cap fixe l’azote)
</t>
  </si>
  <si>
    <t>Le cycle végétatif complet du pois du cap dure, dans la province de Tuléar et 
pour la variété inamoenus, de 190 à21O jours. Ailleurs, il peut s’étendre sur 2 ans, comme sur les hauts-plateaux par exemple, où le pois du cap peut servir de plante de couverture ou  d’engrais vert.</t>
  </si>
  <si>
    <t>La demande est élevée dans les zones urbaines comme Antananarivo et Fianarantsoa.</t>
  </si>
  <si>
    <t xml:space="preserve">• Rendement maximal à Madagascar : autour de 18 t/ha en production maraîchère bien encadrée.
 • Conditions optimales : climat frais et humide, sol humifère riche en matière organique, pH proche de 6,5–7, irrigation régulière (idéalement goutte-à-goutte), 
 • Association culturale idéale : associé à la carotte, laitue ou céleri dans les planches maraîchères pour optimiser l’espace; idéal en rotation courte avec légumineuses pour reconstituer les sols.
</t>
  </si>
  <si>
    <t>Le prix augmente en saison sèche, assurant une bonne marge.</t>
  </si>
  <si>
    <t xml:space="preserve">• Rendement maximal à Madagascar : 8 t/ha si plantation de caïeux sélectionnés.
 • Conditions optimales : altitude 800–1 800 m, climat tempéré et ensoleillé, sol limoneux bien drainé (pH 6‑6,5), désherbage manuel fréquent (un bon contrôle des adventices garantit un rendement optimal), protection fongicide contre maladies bulbeuses.
 • Association culturale idéale : culture associée à la carotte, betterave ou chou, en rotation ou en bordure, très bonne rotation après les cultures gourmande en azote.
</t>
  </si>
  <si>
    <r>
      <t>• Rendement maximal à Madagascar : dans les 10 t/ha en production régulière.
 • Conditions optimales : altitude entre 800 et 1 800 m, climat frais mais non froid, exposition semi-ombragée, arrosage régulier</t>
    </r>
    <r>
      <rPr>
        <b/>
        <sz val="12"/>
        <color rgb="FFFF0000"/>
        <rFont val="Calibri"/>
        <family val="2"/>
      </rPr>
      <t xml:space="preserve"> sans excessif</t>
    </r>
    <r>
      <rPr>
        <sz val="12"/>
        <color rgb="FFFF0000"/>
        <rFont val="Calibri"/>
        <family val="2"/>
      </rPr>
      <t xml:space="preserve">, sol léger mais riche, fertilisation organique modérée, division régulière des touffes.
 • Association culturale idéale : associée à des herbes aromatiques comme persil et coriandre pour former une planche aromatique diversifiée.
 </t>
    </r>
  </si>
  <si>
    <t xml:space="preserve"> • Rendement maximal à Madagascar : environ 12 t/ha en condition maraîchère bien gérée.
 • Conditions optimales : altitude 1 000–2 000 m, climat frais et humide, sol meuble et riche en humus, semis en pépinière , irrigation régulière, fertilisation organique élevée.
 • Association culturale idéale : associé à la laitue, oignon ou carotte dans les planches maraîchères diversifiées.
 </t>
  </si>
  <si>
    <t>• Rendement maximal à Madagascar : atteint généralement 8 t/ha avec un bon suivi.
 • Conditions optimales :  climat tempéré et humide, sol humifère bien drainé, semis direct ou repiquage selon densité, irrigation régulière (nécessite une humidité constante sans stagnation), fertilisation organique modérée.
 • Association culturale idéale : cultivé avec coriandre</t>
  </si>
  <si>
    <t>Riche en fer, vitamine C et antioxydants, rehausse la saveur locale.</t>
  </si>
  <si>
    <t>Rendement maximal: Feuilles : jusqu’à 8 tonnes/ha ;  Graines : jusqu’à 1,2 tonne/ha
Conditions optimales pour atteindre ce rendement : climat tempéré à frais (15 à 25°C), période sèche bien maîtrisée, Altitude idéale : entre 800 et 1 600 m, Sol : léger, bien drainé, fertile, riche en humus, pH 6,0 à 7,5, Pluviométrie : 600 à 1 200 mm/an, sans excès d’eau, ensoleillée à mi-ombragée, Semis direct, Conduite : compost avant semis, désherbage régulier, arrosage modéré et fréquent en début de cycle
Association culturale possible:  Carotte, oignon, ail, laitue, betterave (bonne complémentarité racinaire et répulsion des ravageurs)
 À éviter : association avec légumineuses ou cultures couvrantes trop vigoureuses (concurrence lumière et eau)</t>
  </si>
  <si>
    <t>• Rendement maximal à Madagascar : 5 tonnes/ha en culture irriguée maîtrisée.
 • Conditions optimales nécessaires pour atteindre le rendement maximal : Variétés pures, Climat Chaud et humide, avec une température moyenne de 25 à 30°C, en bas-fonds ,Sol Limono-argileux bien drainé, riche en matière organique. Culture irriguée en submersion continue (5-10 cm) pendant tout le cycle,  fertilisation équilibrée (urée + NPK).
 • Association culturale idéale : Rotation avec légumineuses (haricot ou soja) pour enrichir le sol, ou culture associée avec Azolla pour fixer l’azote.
 L’intensification des pratiques culturales (semis en ligne, désherbage raisonné, fertilisation adaptée) augmente de 30 % le rendement.</t>
  </si>
  <si>
    <t>• Rendement maximal à Madagascar : 6 tonnes/ha en culture de bas-fond non irrigué.
 • Conditions optimales nécessaires pour atteindre le rendement maximal :
 Climat : Tropical humide à subhumide, Sols lourds (argileux), humides mais bien structurés.
 Conduite culturale : Labour profond, semis en ligne, sarclage précoce, fumure organique (compost ou fumier:  L’utilisation de compost en pré-semis permet une bonne tenue des talles et un meilleur tallage), fertilisation minérale modérée.
 • Culture en rotation avec patate douce ou manioc ; ou culture intercalaire avec des brèdes pendant les premières semaines.</t>
  </si>
  <si>
    <t xml:space="preserve">• Rendement maximal à Madagascar :7 tonnes/ha.
 • Conditions optimales nécessaires pour atteindre le rendement maximal : Climat Tropical de moyenne altitude, température autour de 25°C, sols limono-sableux avec bonne capacité de rétention d’eau.
 • Conduite culturale : Semis en ligne, fertilisation avec fumure de fond + complément azoté au tallage, lutte contre les adventices et le striga.
Rotation idéale avec le niébé ou autres légumineuses pour enrichir en azote,  et jachère courte utile pour régénérer les sols
Le Semis en ligne et repiquage précoce améliorent le rendement de 20 %..
</t>
  </si>
  <si>
    <r>
      <t xml:space="preserve"> Intégrer des techniques telles que le SRI pour optimiser l’utilisation de l’eau, surtout pour des variétés comme </t>
    </r>
    <r>
      <rPr>
        <b/>
        <sz val="12"/>
        <color rgb="FFFF0000"/>
        <rFont val="Calibri"/>
        <family val="2"/>
      </rPr>
      <t xml:space="preserve">Système Traditionnel </t>
    </r>
    <r>
      <rPr>
        <sz val="12"/>
        <color rgb="FFFF0000"/>
        <rFont val="Calibri"/>
        <family val="2"/>
      </rPr>
      <t xml:space="preserve">:  40 à 60 kg de semences par hectare.
</t>
    </r>
    <r>
      <rPr>
        <b/>
        <sz val="12"/>
        <color rgb="FFFF0000"/>
        <rFont val="Calibri"/>
        <family val="2"/>
      </rPr>
      <t xml:space="preserve">  Système SRI </t>
    </r>
    <r>
      <rPr>
        <sz val="12"/>
        <color rgb="FFFF0000"/>
        <rFont val="Calibri"/>
        <family val="2"/>
      </rPr>
      <t>: réduit la quantité de semences à environ 6 à 10 kg par hectare. Cette méthode favorise une meilleure aération et un développement racinaire optimal, augmentant ainsi les rendements.
L’adoption du SRI peut entraîner une réduction significative de la quantité de semences utilisée, tout en améliorant les rendements. Cependant, elle nécessite une gestion plus rigoureuse de l’eau et des pratiques culturales.</t>
    </r>
  </si>
  <si>
    <t xml:space="preserve">Rendement maximal à Madagascar : Jusqu’à 5 tonnes/ha en conditions optimales.
Conditions optimales nécessaires pour atteindre ce rendement :
– Altitude : 800 à 1 200 m.
– Sol : sablo-argileux bien drainé, pH 5,5 à 6,5, riche en matière organique.
– Pluviométrie : 1 200 à 1 500 mm bien répartis.
– Température : 20 à 28 °C.
– Semis direct ou repiquage juste après les premières pluies.
– Désherbage régulier, fertilisation adaptée (fumier + NPK).
Association culturale idéale :
– Rotation avec arachide ou niébé, pour enrichir le sol en azote.
Le rendement dépend fortement de la régularité des pluies et de la fertilité du sol.
</t>
  </si>
  <si>
    <t>Bien adoptée dans les hautes terres pluviales
Bonne qualité nutritionnelle, riz recherché pour sa résistance à la sécheresse.</t>
  </si>
  <si>
    <r>
      <t xml:space="preserve">Cresson </t>
    </r>
    <r>
      <rPr>
        <sz val="12"/>
        <color rgb="FFFF0000"/>
        <rFont val="Calibri"/>
        <family val="2"/>
      </rPr>
      <t>de fontaine</t>
    </r>
  </si>
  <si>
    <t>Cultivé principalement à Atsinanana, Analanjirofo,Sofia, Haute Matsiatra, Filière en croissance, surtout sur les marchés locaux et artisanaux
La poudre de curcuma artisanale séchée au soleil valorise mieux le produit sur les marchés locaux.</t>
  </si>
  <si>
    <t xml:space="preserve">• Rendement maximal 20 t/ha de rhizomes frais.
 • Conditions optimales pour atteindre ce rendement : Climat  tropical humide, Sol : argilo-limoneux, humifère, profond, pH 5,5 à 7,  Conduite : fumure organique abondante, arrosages réguliers, désherbage fréquent, récolte après 9 à 10 mois.
 • Association culturale idéale: Culture en interligne avec le gingembre, ou sous couvert de manioc, Bonne culture de rotation après légumineuses, limitant la fatigue des sols
</t>
  </si>
  <si>
    <t>Facile à intégrer dans les zones périurbaines grâce à sa production continue.</t>
  </si>
  <si>
    <t xml:space="preserve">• Rendement maximal: 30 t/ha en culture irriguée bien conduite.
 • Conditions optimales pour atteindre ce rendement : Climat chaud, 22 à 30°C, Sol : bien drainé, riche en humus, pH entre 6 et 6,8,  Conduite : irrigation régulière, tuteurage, lutte contre les acariens et aleurodes, récolte échelonnée à partir de 60 jours après repiquage.
 • Association culturale idéale : Avec oignon ou poireau sur les mêmes planches.
</t>
  </si>
  <si>
    <r>
      <t xml:space="preserve">La variété Batavia est cultivée dans les régions côtières et sur les Hautes Terres. Elle est vendue sur les marchés urbains et ruraux. Elle est adaptée à la consommation fraîche et parfois transformée localement.
</t>
    </r>
    <r>
      <rPr>
        <b/>
        <sz val="12"/>
        <color rgb="FFFF0000"/>
        <rFont val="Calibri"/>
        <family val="2"/>
      </rPr>
      <t>Œilleton</t>
    </r>
    <r>
      <rPr>
        <sz val="12"/>
        <color rgb="FFFF0000"/>
        <rFont val="Calibri"/>
        <family val="2"/>
      </rPr>
      <t xml:space="preserve">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t>
    </r>
    <r>
      <rPr>
        <b/>
        <sz val="12"/>
        <color rgb="FFFF0000"/>
        <rFont val="Calibri"/>
        <family val="2"/>
      </rPr>
      <t>Rejet</t>
    </r>
    <r>
      <rPr>
        <sz val="12"/>
        <color rgb="FFFF0000"/>
        <rFont val="Calibri"/>
        <family val="2"/>
      </rPr>
      <t xml:space="preserve">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t>
    </r>
  </si>
  <si>
    <t>Cultivée dans les régions humides : Atsinanana, Analanjirofo, Vatovavy, Sava. Système traditionnel avec faible intrants, mais forte demande sur le marché local. Nécessite une bonne gestion des maladies et ravageurs.
Œilleton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Rejet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t>
  </si>
  <si>
    <r>
      <t xml:space="preserve">Très présente dans les Hautes Terres. Valorisation locale par la consommation fraîche ou transformation artisanale (chips, purée, vin de banane). Intérêt pour la diversification alimentaire et la sécurité alimentaire. Productivité moyenne mais rusticité appréciée.
</t>
    </r>
    <r>
      <rPr>
        <sz val="12"/>
        <color rgb="FFFF0000"/>
        <rFont val="Calibri"/>
        <family val="2"/>
      </rPr>
      <t xml:space="preserve">La variété Lacatan (Akondro mena) est cultivée surtout dans l’Est et le Nord de Madagascar, où le climat humide favorise sa croissance. Elle est moins courante que les autres variétés.
Œilleton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Rejet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
</t>
    </r>
  </si>
  <si>
    <t>La banane Naine est une variété très répandue dans les jardins familiaux et petites exploitations agricoles. Elle est facile à cultiver et produit rapidement, ce qui en fait une bonne source de revenu pour les familles rurales. On la retrouve surtout dans les régions côtières et les zones à climat humide de Madagascar.
Œilleton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Rejet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t>
  </si>
  <si>
    <t>On peut ajouter comme fertilisation minérale de la Dolomie : 500 kg/ha, Urée : 100-150 kg/ha
Œilleton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Rejet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t>
  </si>
  <si>
    <t>• Rendement maximal à Madagascar : 25 tonnes/ha/an
 • Conditions optimales pour atteindre ce rendement : Sol profond, bien drainé,  riche en matière organique, pH 5,5 à 6,5, Pluviométrie annuelle : 1500 à 2500 mm bien répartie, Température optimale : 26–30°C, Entretien régulier (désherbage, ébourgeonnage, apport organique)
 • Association culturale idéale : Avec le gingembre ou le taro en intercalaire la première année, Possibilité de culture de couverture (arachide, mucuna) en interrang
Rendement maximal atteint avec 3 rejets gérés par pied, fertilisation trimestrielle organo-minérale.</t>
  </si>
  <si>
    <t>Très prisé dans les marchés urbains, potentiel de valorisation en chips ou purée.
Variété déjà largement adoptée dans l’Est, nécessite amélioration de la conservation post-récolte.
Œilleton
• Définition : jeune pousse très proche du rhizome (le “tronc” souterrain du bananier).
 • Caractéristiques : Petit, trapu, à croissance lente, Très enraciné dans le rhizome, Feuilles encore enroulées ou absentes.
 • Avantage : excellent pour la plantation, car il a beaucoup de réserves et un bon enracinement.
 • Utilisation : souvent préféré pour faire des plants sains.
Rejet
 • Définition : pousse secondaire qui émerge autour du pied mère.
 • Types de rejets : 
 • Rejet de type épée : allongé, feuilles fines – bon pour replanter.
 • Rejet de type d’eau : feuilles larges très tôt – croissance rapide mais système racinaire plus faible.
 • Caractéristiques : Déjà feuillé.
 • Peut être plus éloigné du pied mère.
 • Utilisation : aussi utilisé pour la multiplication, mais parfois moins vigoureux selon le type.</t>
  </si>
  <si>
    <t xml:space="preserve">• Rendement maximal à Madagascar :25 tonnes/ha/an
 • Conditions optimales pour atteindre ce rendement : Sol : alluvial, humifère, pH 5,5 à 7, Climat : chaud et humide, (24 à 30°C), Pluviométrie : 1500 à 3000 mm/an
 • Association culturale idéale : Intercalaire avec haricot ou soja en début de cycle, association possible avec ananas ou gingembre dans plantations jeunes
Paillage permanent et apport en compost enrichi tous les 4 mois.
Régulation des rejets à 3 par plant + apport de K favorise poids du régime.
</t>
  </si>
  <si>
    <t xml:space="preserve">• Rendement maximal à Madagascar : 25 tonnes/ha/an
 • Conditions optimales pour atteindre ce rendement : Sol léger, fertile, bien drainé,  Température : 24 à 28°C, Pluviométrie : 1800 mm/an minimum.
Utilisation de rejets sélectionnés sains + irrigation localisée.
Meilleure productivité avec rejets limités à 2-3 par plant.
 • Association culturale idéale : Avec ciboulette ou pois d’Angole en bordure, Avec goyaviers en haie fruitière
</t>
  </si>
  <si>
    <t xml:space="preserve">• Rendement maximal à Madagascar : 25 tonnes/ha/an
 • Conditions optimales pour atteindre ce rendement : Climat humide tempéré, altitude &gt;1000 m, Sol humifère, légèrement acide, pH 5,8;  Bonne exposition au soleil, vent limité, apport organique régulier.
Préférence pour les zones d’altitude, enrichissement du sol en compost chaque trimestre.
Rendement amélioré en régulant la densité et en installant une couverture végétale.
 • Association culturale idéale : Brèdes et gingembre en intercalaire la première année, association possible avec caféiers dans les zones d’altitude
</t>
  </si>
  <si>
    <t>• Rendement maximal à Madagascar : 35 tonnes/ha/an
 • Conditions optimales pour atteindre ce rendement : Température : 25–30°C, Altitude : 0 à 900 m, Sol sablo-limoneux, profond, bien drainé, pH 6 à 6,8, Irrigation d’appoint indispensable en saison sèche.
Irrigation goutte-à-goutte + paillage plastique favorisent fructification continue.
 • Association culturale idéale :  En intercalaire avec légumineuses rampantes (niébé, arachide),  Peut être entourée de basilic ou romarin contre insectes.</t>
  </si>
  <si>
    <t>Rendement maximal à Madagascar :35 t/ha/an
Si la Solo Sunset est cultivée dans une zone chaude, bien arrosée et bien drainée, alors elle atteint ce rendement.
 Si les soins culturaux sont réguliers (fertilisation, aération, désherbage), alors la durée de production est prolongée.
Association culturale possible : avec Gombo, maïs précoce ou mucuna en couverture végétale.</t>
  </si>
  <si>
    <t xml:space="preserve">Rendement maximal à Madagascar : 35 t/ha/an
 Si la Waimanalo est cultivée dans un sol sablo-limoneux bien fumé, alors ellepeut atteindre ce rendement maximal.
 Si la densité est maîtrisée et la gestion des maladies assurée, alors la durée de production est optimale.
Si les producteurs reçoivent une formation spécifique sur la taille et l’entretien, alors la qualité des fruits s’améliore.
Association culturale possible : Arachide, légumineuses fourragères, pois d’Angole en bordure; (Si elle est associée aux légumineuses ou cultures améliorant la structure du sol, alors la durabilité du système est assurée.)
</t>
  </si>
  <si>
    <t xml:space="preserve">Rendement maximal à Madagascar : 30 t/ha
 Si les boutures sont plantées sur un sol léger, bien fumé, en saison chaude, alors le rendement peut atteindre 30 t/ha.
 Si les mauvaises herbes sont contrôlées manuellement et que la densité est respectée, alors la tubérisation est optimale.
 Si elle est associée au maïs ou à l’arachide, alors elle optimise l’espace et améliore la fertilité du sol.
</t>
  </si>
  <si>
    <t xml:space="preserve">Rendement maximal à Madagascar : 25 t/ha
 Si la variété Sihanaka est cultivée en altitude moyenne sur sol fertile, alors le rendement peut dépasser 25 t/ha.
Si la densité et le désherbage sont bien gérés, alors la qualité des tubercules est améliorée.
Association culturale possible :
 Maïs précoce, voanjobory, pois d’Angole en bordure (Si elle est cultivée avec des légumineuses, alors elle profite de l’azote du sol et limite les ravageurs.)
</t>
  </si>
  <si>
    <t xml:space="preserve"> • Rendement maximal à Madagascar : 25  t/ha/an en culture bien conduite.
 • Conditions optimales pour atteindre ce rendement :
 • Climat  équatorial ou subéquatorial humide (Température : 24 à 29°C), Sol : profond, argilo-limoneux, bien drainé, riche en potasse, désherbage régulier, coupe des feuilles malades, ébourgeonnage des rejets.
Le maintien d’un rejet principal unique par pied améliore la production du régime.
Le rendement est optimal si le sol est enrichi par du compost + cendre de bois (potasse).
 • Association culturale idéale à Madagascar : Sous couvert de légumineuses (ex : voanjobory, pois d’Angole), en association avec manioc ou ananas en terrain pentu.
</t>
  </si>
  <si>
    <t xml:space="preserve">• Rendement maximal à Madagascar : 20 t/ha/an.
 • Conditions optimales pour atteindre ce rendement : Climat chaud, humide, Sol limoneux, profond, bien drainé, riche en K et matière organique, apport de compost 20-25 t/ha.
Le paillage et la fertilisation organique soutenue favorisent une croissance rapide des rejets.
La Plantation en quinconce avec irrigation goutte à goutte permet un rendement régulier.
 • Association culturale idéale à Madagascar : Interculture avec le caféier ou les légumineuses rampantes, Bonne association avec gingembre ou curcuma dans les interlignes.
 </t>
  </si>
  <si>
    <t xml:space="preserve">• Rendement maximal à Madagascar : 25t/ha de rhizomes frais bien développés.
 • Conditions optimales pour atteindre ce rendement :
 Climat : chaud et humide, avec une température de 25 à 30°C.
 Pluviométrie : 1500 à 2500 mm/an bien répartis.
  Sol : profond, meuble, riche en matière organique, bien drainé.
 Conduite : apport important de compost, paillage constant, désherbage manuel, buttage léger, récolte entre 9 à 10 mois après plantation.
Si l’on utilise un paillage épais avec irrigation localisée, le sol reste humide et la croissance est continue.
 • Association culturale idéale à Madagascar : Association avec le maïs ou les haricots.
</t>
  </si>
  <si>
    <t xml:space="preserve">Rendement maximal: dans les 7 t/ha
Conditions optimales nécessaires pour atteindre ce rendement :
-semences lovales bien selectionnées
– Altitude : 0 à 1 200 m.
– Climat : chaud humide.
– Sol : léger, fertile, riche en humus.
– Semis direct ou repiquage, densité élevée.
– Récolte fréquente des jeunes pousses.
La récolte en continu encourage la repousse.
Association culturale idéale :  avec les  cultures à cycle court (tomate, haricot vert).
</t>
  </si>
  <si>
    <t xml:space="preserve">Rendement maximal: 12 à 15 tonnes/ha en culture contrôlée ou semi-aquatique.
Conditions optimales nécessaires pour atteindre ce rendement :
– Altitude : 500 à 1 500 m.
– Sol : limoneux humide, en bord de source ou marécage propre.
– Exposition : ensoleillée à mi-ombragée.
– Eau courante non stagnante, bien oxygénée.
– Multiplication par bouturage ou semis dense.
Nécessite une source d’eau propre et renouvelée, sinon maladies.
Pousse rapide si l’eau est propre, température constante.
Association culturale idéale : Compatible avec menthe ou ciboulette en cultures semi-humides (mais souvent en monoculture sur parcelles humides)
</t>
  </si>
  <si>
    <t xml:space="preserve">Rendement maximal :30 tonnes/ha en conditions optimales.
Conditions optimales nécessaires pour atteindre ce rendement :
– Altitude : 800 à 1 500 m.
– Sol : riche, frais, meuble, bien drainé.
– Température : 18 à 25 °C.
– Semis : direct ou repiquage
– Arrosage fréquent, lutte contre les altises et pucerons.
Association culturale idéale : Avec carotte ou oignon, en planches alternées pour lutter contre les ravageurs.
</t>
  </si>
  <si>
    <t>Rendement maximal à Madagascar : Jusqu’à 35 tonnes/ha/an (en verger bien conduit)
 Si la papaye Sunrise est plantée sur un sol bien drainé, profond, avec apport de compost et fertilisation fractionnée, alors elle peut produire jusqu’à 35 t/ha/an.
 Si la plantation est réalisée à bonne densité, dans une zone chaude, en plein soleil, et bien entretenue, alors la production est régulière dès le 10e mois après plantation.
 Si les producteurs ont accès aux intrants (fumure, fongicides) et à des marchés stables, alors la culture de la Sunrise devient très rentable dès la 2e année.
Si des pépinières locales diffusent des plants de papaye Sunrise bien sélectionnés, alors l’adoption de cette variété sera accélérée dans les zones littorales et basses altitudes.
 Si la papaye Sunrise est associée aux cultures de sous-étage (gombo, mucuna), alors la productivité du verger est optimisée et les risques d’érosion réduits.</t>
  </si>
  <si>
    <t xml:space="preserve">Rendement maximal à Madagascar :
25 t/ha
 Si elle est cultivée sur un sol sableux et bien paillé avec apport de fumier, alors le rendement peut atteindre 25 t/ha.
  Si la culture est bien planifiée avant la période de sécheresse, alors la tubérisation est rapide.
  Si elle est associée au niébé ou sésame, alors elle valorise les zones pauvres en ressources.
</t>
  </si>
  <si>
    <t xml:space="preserve">• Rendement maximal à Madagascar : 25tonnes/ha
 • Conditions optimales nécessaires :
 Sol sableux-limoneux, meuble et bien drainé, pH entre 5,5 et 6,5; Altitude : 0 à 1 200 m, Température : 22 à 28 °C
 Utilisation de boutures de tiges saines, renouvelées tous les 3 ans, issues de parcelles mères non infectées.
Meilleur rendement obtenu si la culture est établie juste avant la saison des pluies, avec irrigation complémentaire.
 Rotation/association : Elle permet une bonne rotation après une culture céréalière comme le maïs ou le sorgho; Association culturale idéale : avec haricot nain ou arachide pour enrichir le sol en 
</t>
  </si>
  <si>
    <t xml:space="preserve">• Rendement maximal à Madagascar : 20 tonnes/ha
 • Conditions optimales nécessaires : Sol riche en matière organique, léger et profond,  Altitude : 0 à 1 300m, Température : 23 à 30 °C, Besoins hydriques modérés
Paillage systématique pour limiter les pertes d’eau et protéger les tubercules.
Performance agronomique : La croissance est accélérée avec un apport de compost mûr au moment du buttage
Association culturale idéale : rotation avec des légumineuses ou brèdes (avec maïs ou pois d’Angole pour couvrir le sol et améliorer la fertilité).
 </t>
  </si>
  <si>
    <t xml:space="preserve">• Rendement maximal à Madagascar : 20 à 25 tonnes/ha atteint si la culture est implantée dans un sol favorable, avec un bon niveau de fertilité et une humidité suffisante, en respectant la période de semis appropriée, à une altitude adaptéeet une température modérée.
 Le rendement maximal s’obtient également avec la plantation de tubercules certifiés, germés et non blessés, une fertilisation fractionnée et le paillage.
 Rotation/association : Culture à éviter après une autre solanacée pour limiter les maladies du sol, association culturale idéale : avec haricot vert ou maïs pour optimiser l’espace
</t>
  </si>
  <si>
    <t>• Rendement maximal à Madagascar : 20 tonnes/ha
 • Conditions optimales nécessaires :
 • Sol limono-sableux, bien drainé, riche en humus
 • Altitude : 1 300 à 2 000 m
 • Température : 15 à 20 °C
 • Irrigation fréquente surtout en saison sèche
 • Association culturale idéale : avec oignon ou carotte pour optimiser l’usage du terrain
Hypothèses
 1. Technique : Application de fongicide préventif contre le mildiou.
 2. Performance agronomique : Haut rendement obtenu avec paillage + rotation soignée.
 3. Socio-économique : Variété recherchée pour sa bonne conservation et sa qualité culinaire.
 4. Adoption : Fort potentiel si accompagnement technique et coopératif.
 5. Rotation/association : Rotation idéale avec céréales (maïs, avoine) pour casser le cycle des maladies.
 6. Nutrition/filière : Forte demande des consommateurs urbains ; utilisable dans la restauration collective.</t>
  </si>
  <si>
    <t xml:space="preserve">Un rendement de 20.0 t/ha peut être atteint si la culture est implantée dans un sol favorable, avec un bon niveau de fertilité et une humidité suffisante, en respectant la période de semis appropriée, à une altitude adaptée et une température modérée  Une fertilisation équilibrée, combinant matières organiques et apports minéraux, est recommandée. La densité de plantation doit permettre une bonne aération et une couverture optimale. Une culture associée de type légumineuse est généralement bénéfique.
Rotation/association : Peut être suivie par du maïs ou haricot pour restaurer le sol.
Association idéale avec laitue ou brède morelle pour maximiser les revenus à court terme
</t>
  </si>
  <si>
    <t xml:space="preserve">Un rendement de 20.0 t/ha peut être atteint si la culture est implantée dans un sol favorable, avec un bon niveau de fertilité et une humidité suffisante, en respectant la période de semis appropriée, à une altitude adaptée (Entre 1000 et 2000 mètres) et une température modérée (Optimal entre 15 et 22 °C ; sensible à la chaleur au-dessus de 25 °C). Une fertilisation équilibrée, combinant matières organiques et apports minéraux, est recommandée. La densité de plantation doit permettre une bonne aération et une couverture optimale.
Association culturale possible :  avec haricot, carotte, pois, oignon (bonnes associations racinaires)
</t>
  </si>
  <si>
    <t>Spunta est l’une des variétés commerciales les plus cultivées à Madagascar. Elle est recherchée par les marchés urbains pour son calibre, sa conservation et sa bonne apparence. Toutefois, elle est sensible au mildiou si les conditions sont trop humides. L’accès régulier à de la semence de qualité, à la formation technique et à la commercialisation reste un enjeu crucial pour les petits producteurs.
 Bonne qualité culinaire (frites, purée) ; appréciée par les ménages et les restaurants.</t>
  </si>
  <si>
    <t>Un rendement de 20.0 t/ha peut être atteint si la culture est implantée dans un sol favorable, avec un bon niveau de fertilité et une humidité suffisante, en respectant la période de semis appropriée, à une altitude adaptée (Entre 1200 et 1800 mètres d’altitude) et une température modérée (Température optimale entre 16 et 22 °C ; sensible à la chaleur au-delà de 28 °C). Une fertilisation équilibrée, combinant matières organiques et apports minéraux, est recommandée. La densité de plantation doit permettre une bonne aération et une couverture optimale.
Rotation/association : Elle suit idéalement une culture de légumineuses ou de céréales pour limiter les maladies du sol.</t>
  </si>
  <si>
    <t>Rendement maximal à Madagascar :
– 1,2 à 1,5 t/ha en conditions paysannes
– Jusqu’à 2,5 t/ha en conduite améliorée
Conditions optimales pour rendement maximal :
– Climat : tropical sec à sub-humide, idéalement zones de savanes ou semi-arides
– Température : 25 à 35°C
– Pluviométrie : 500 à 900 mm/an, tolère bien les sécheresses modérées
– Altitude : 0 à 1 200 m
– Sol : sols légers à moyens, bien drainés, pH 6 à 7, tolère sols pauvres mais sensibles à l’excès d’humidité
– Conduite culturale : semis direct, désherbage précoce, lutte contre les bruches et pucerons, paillage et fertilisation organique légère
Association culturale adaptée :
– Association avec maïs, sorgho, ou arachide ; excellent précédent pour céréales
– Peut aussi être intercalé avec le manioc</t>
  </si>
  <si>
    <t xml:space="preserve">Rendement maximal à Madagascar :
– 1 500 kg/ha en plantations bien conduites (après 6 à 8 ans)
Conditions optimales pour rendement maximal :
– Climat : chaud et humide, tropical humide côtier (ex. Analanjirofo, Diana)
– Température : 22 à 30°C
– Pluviométrie : 1 500 à 2 500 mm/an, bien répartie
– Altitude : 0 à 600 m
– Sol : argilo-sableux, riche en humus, bien drainé, pH 5,5 à 6,5
– Conduite culturale : ombrage léger au départ, entretien du sol, élagage, lutte contre les cochenilles, récolte soignée avant ouverture des boutons
 Greffage de qualité, élagage régulier et entretien du couvert végétal
Potentiel élevé en zone littorale avec humidité constante
Association culturale adaptée :
– Association possible avec le café, vanille (en zone humide), ou bananiers ombrageants (associé à des cultures d’ombrage dans une logique agroforestière)
</t>
  </si>
  <si>
    <t>Prix de vente : variable, entre 20 000 et 40 000 Ariary le kilo selon la qualité
Madagascar est un producteur reconnu de girofle, mais les plantations sont souvent anciennes et les rendements pourraient être améliorés avec des pratiques agricoles modernisées.
Produit d’exportation majeur, très rémunérateur en zone adaptée</t>
  </si>
  <si>
    <t>Zones principales de production : Atsimo-Andrefana, Itasy, Bongolava, Vakinankaratra, Haute Matsiatra
Source de revenus et sécurité alimentaire pour zones marginalisées</t>
  </si>
  <si>
    <t>Rendement maximal à Madagascar : Jusqu’à 1,5 t/ha en conditions optimales
Conditions optimales :
– Climat : tropical sec à sub-humide
– Température : 25 à 35°C
– Pluviométrie : 600 à 900 mm/an
– Altitude : 0 à 1 200 m
– Sol : sableux à limoneux, bien drainés, tolère sols pauvres
– Conduite culturale : semis en poquets espacés, pas besoin d’engrais azoté, sarclages, récolte manuelle
Très productif même en conditions semi-arides grâce à sa rusticité
 Association culturale adaptée : En association ou en rotation avec maïs, arachide, ou patate douce.</t>
  </si>
  <si>
    <t>Zones principales de production : Bongolava, Itasy, Vakinankaratra, Menabe, Atsimo-Andrefana
Culture vivace taillée, implantation en bordure ou intercalaire</t>
  </si>
  <si>
    <t xml:space="preserve">Rendement maximal à Madagascar : 2 t/ha en conduite améliorée
Conditions optimales:
– Climat : tropical sec, bonne tolérance à la sécheresse
– Température : 20 à 35°C
– Pluviométrie : 500 à 900 mm/an
– Altitude : 0 à 1 200 m
– Sol : bien drainés, même pauvres, pH 5,5 à 7
– Conduite culturale : semis en poquets ou lignes, taillis après récolte, production sur plusieurs cycles (2-3 ans)
Association culturale adaptée :
– Peut être intercalé avec manioc, sorgho, ou en bordure de champs ( Réintroduit la fertilité via la fixation d’azote, associé aux cultures sarclées)
</t>
  </si>
  <si>
    <t>Zones principales de production : Analamanga, Itasy, Vakinankaratra, Haute Matsiatra, Atsinanana, Boeny
Bon potentiel commercial en frais et transformé (pickles)</t>
  </si>
  <si>
    <t xml:space="preserve">Rendement maximal à Madagascar : Jusqu’à 15 t/ha en culture irriguée bien conduite
Conditions optimales :
– Climat : tropical tempéré à chaud, sensible aux températures extrêmes
– Température : 22 à 28°C
– Pluviométrie : 800 à 1 200 mm/an
– Altitude : 0 à 1 300 m
– Sol : riches en matière organique, pH 6 à 6,8, bien drainés
– Conduite culturale : palissage ou culture rampante, arrosage régulier, lutte contre oïdium et pucerons, récolte fréquente
 Technique : Nécessite un tuteurage ou palissage, irrigation régulière, traitement fongique
 Performance agronomique : Très bon rendement en saison fraîche sous irrigation
Association culturale adaptée : Peut être cultivé avec maïs, haricot vert, ou plantes aromatiques ex: coriandre
</t>
  </si>
  <si>
    <t xml:space="preserve">Zones principales de production : Analamanga, Itasy, Vakinankaratra, Haute Matsiatra, Atsinanana, Sofia
À Madagascar, on cultive des variétés locales (non homogènes, à fruits allongés) et des variétés améliorées comme Black Beauty, Romanesco, et Diamant F1 qui sont plus productives et parfois résistantes aux maladies.
 Bonne valorisation sur les marchés locaux en période sèche
 Source locale de potassium et de fibres, forte demande urbaine
</t>
  </si>
  <si>
    <t xml:space="preserve">• Rendement maximal à Madagascar :20 tonnes/ha en irrigué, 10 à 14 t/ha en pluvial
 • Conditions optimales pour l’atteindre :
 • Climat : Chaud et tempéré, 20–30°C
 • Pluviométrie : 800–1 200 mm bien répartis
 • Sol : Léger, fertile, bien drainé, pH 6–7
 • Altitude : 0 à 1 400 m
 • Conduite : Semis direct ou repiquage, irrigation fréquente, paillage, traitements préventifs contre oïdium et mildiou
 • Association culturale possible à Madagascar : Courgette + maïs + basilic ou haricot en intercalaire (Rotation avec cultures non-cucurbitacées pour éviter la pression des maladies)
</t>
  </si>
  <si>
    <t xml:space="preserve">• Rendement maximal à Madagascar : 15 tonnes/ha
 • Conditions optimales :
 • Climat : Tempéré chaud, 18–28°C, sensible au froid
 • Sol : Léger, bien drainé, riche en matière organique, pH 6–6,8
 • Pluviométrie : 800–1 200 mm, irrigation indispensable en saison sèche (irrigation goutte-à-goutte)
 • Altitude : 200 à 1 200 m
 • Conduite : Paillage, tuteurage, lutte intégrée contre aleurodes et anthracnose
 Technique : Utilisation de filets anti-insectes et traitements biologiques ciblés
 • Association culturale possible : Poivron + basilic ou ail en répulsif, + laitue en intercalaire ( Bonne synergie avec laitue et herbes aromatiques)
</t>
  </si>
  <si>
    <t xml:space="preserve">• Rendement maximal à Madagascar : 10 t/ha en frais, jusqu’à 2,5 t/ha en sec
 • Conditions optimales :
 • Climat : Tropical à tempéré chaud, 22–30°C, évite les zones trop humides
 • Pluviométrie : 600–1 000 mm, irrigation maîtrisée en saison sèche
 • Sol : Léger, riche, pH 6–6,5, bien drainé
 • Altitude : 0 à 1 200 m
 • Conduite : Taille douce, binages, séchage naturel ou solaire pour transformation
Technique : Taille des tiges pour stimuler la ramification et la fructification
Meilleur rendement avec fertilisation organo-minérale équilibrée
 • Association culturale possible :  À éviter après aubergine ou tomate pour limiter les pathogènes communs
</t>
  </si>
  <si>
    <t xml:space="preserve">• Rendement maximal à Madagascar : 20 t/ha
 • Conditions optimales :
 • Climat : Subtropical à tropical humide, 20–28°C
 • Pluviométrie : 1 000–1 500 mm/an, bien répartie
 • Sol : Léger, sableux ou limono-sableux, légèrement acide (pH 5,5 à 6,5), bien drainé
 • Altitude : 0 à 800 m
 • Conduite : Plantation en ligne double, paillage, sarclage, éboutonnage, récolte après 15–18 mois
Technique : Utilisation de rejets sains et calibrés pour plantation homogène
 • Association culturale possible : Ananas + légumineuses couvre-sol (arachide, stylosanthes)
</t>
  </si>
  <si>
    <t xml:space="preserve">Les grandes zones de production sont :
– Est : Toamasina, Brickaville
– Sud-Est : Farafangana, Vangaindrano
– Centre : Alaotra, Itasy, Analamanga (en petite surface)
La culture du mananasy est bien adaptée aux petits producteurs, mais elle est aussi utilisée pour l’agro-industrie (jus, export) dans certaines zones.
Adaptée à la transformation industrielle, bon taux de sucre
</t>
  </si>
  <si>
    <t>• Rendement maximal à Madagascar : 60 à 75 tonnes/ha
 • Conditions optimales :
 • Climat : Humide chaud, 20–30°C
 • Pluviométrie : 1 200–1 800 mm/an, drainage essentiel
 • Sol : Léger, riche, acide (pH 5–6,5), sans stagnation d’eau
 • Altitude : 0–900 m
 • Conduite : Plantation sur billons, apport de compost, éboutonnage régulier, récolte à 16–20 mois
 Plantation sur billons pour un meilleur drainage et développement racinaire
Irrigation complémentaire en saison sèche = gain de calibre 
Association culturale possible : Ananas + canne à sucre ou pois d’Angole pour biomasse</t>
  </si>
  <si>
    <t xml:space="preserve">• Rendement maximal à Madagascar : 10 tonnes/ha/an.
 • Conditions optimales pour rendement maximal :
 • Climat tropical humide à sub-humide.
 • Altitude : 0 à 800 m.
 • Température : 25 à 30 °C.
 • Sols bien drainés, riches en matière organique, pH 6-7.
 • Taille douce pour équilibrer la charpente et favoriser la fructification.
Si l’irrigation est maintenue pendant les périodes sèches et le sol paillé, la floraison sera continue et le rendement élevé.
Si la pollinisation manuelle est pratiquée, on peut augmenter le calibre des fruits de 20 à 30 %.
Rotation/association : Si le corossol est associé à l’ananas ou au curcuma, le revenu est plus stable pendant les premières années improductives. </t>
  </si>
  <si>
    <t>• Rendement maximal à Madagascar : 20 tonnes/ha.
 • Conditions optimales pour rendement maximal :
 • Climat : Subtropical ou tempéré chaud.
 • Température : 20 à 28 °C.
 • Sols riches en matière organique, bien drainés, pH 6-6,8.
 • Altitude : 800 à 1 200 m.
Si une fertilisation fractionnée est pratiquée (azote et potassium), le rendement augmente de 20 %.
 Si les plants sont tuteurés et élagués régulièrement, la production est homogène et le calibre des fruits optimisé
• Rotation recommandée:  pas après solanacées; Association culturale idéale : Basilic, carotte, oignon (répulsifs des ravageurs).</t>
  </si>
  <si>
    <t>• Rendement maximal à Madagascar : 25 tonnes/ha
 • Conditions optimales pour rendement maximal :
 • Climat tempéré à chaud avec faible humidité en floraison.
 • Température : 18 à 28 °C.
 • Sol meuble, fertile, bien drainé.
 • Altitude : 800 à 1 500 m.
Si une irrigation goutte-à-goutte est installée, la maîtrise de l’eau réduit les maladies fongiques.
Si les conditions de semis en pépinière sont maîtrisées (ombrage, substrat), la vigueur des plants est garantie.
 • Association culturale idéale : Ail, oignon, basilic (répulsif), haricot.</t>
  </si>
  <si>
    <t>• Rendement maximal à Madagascar : 15 t/ha en zone favorable.
 • Conditions optimales pour rendement maximal :
 • Climat : Tropical sec à humide.
 • Pluviométrie : 800 à 1 200 mm/an.
 • Altitude : 0 à 1 200 m.
 • Sols légers à moyens, profonds, bien drainés.
 • Période de plantation : Fin de saison des pluies.
 • Repiquage de boutures saines de 20 à 25 cm.
 • Association culturale idéale : Haricot, arachide, maïs (Si le manioc est associé à une légumineuse, la fertilité du sol est préservée.)
Si les boutures sont sélectionnées et bien orientées (verticalement), l’enracinement est optimal.
 Si le désherbage est fait à 45 jours et à 90 jours, la concurrence hydrique est évitée.</t>
  </si>
  <si>
    <t xml:space="preserve">• Rendement maximal à Madagascar : 5 tonnes de feuilles fraîches/ha
 • Conditions optimales nécessaires :
 • Sol sec, pauvre, bien drainé, calcaire toléré
 • Altitude : 0 à 1 200 m
 • Température : 20 à 30 °C
 • Pluviométrie : faible à modérée (400 à 800 mm)
Plantation par bouturage, éclaircie tous les 2 ans pour stimuler la repousse.
Meilleur rendement obtenu avec taille régulière et irrigation légère en période sèche.
 • Association culturale idéale : avec thym ou lavande pour créer une haie aromatique
</t>
  </si>
  <si>
    <t xml:space="preserve">Produit à forte valeur pour l’exportation en épice ou cosmétique ; bonne opportunité en zone rurale côtière.
Madagascar est l’un des premiers exportateurs mondiaux de baie rose. Elle est principalement cultivée dans le Sud-Est (régions de Vatovavy, Fitovinany, Anosy) et le Sud-Ouest (Atsimo-Andrefana). La filière est orientée vers l’exportation. Des coopératives et projets de développement appuient les producteurs. La demande internationale reste forte, mais les normes de qualité sont strictes (absence de moisissures, tri manuel, séchage soigné). </t>
  </si>
  <si>
    <t>Rendement maximal à Madagascar : Jusqu’à2T/ha de fruits à maturité en plantation bien conduite.
Conditions optimales pour atteindre ce rendement :
🔸 Climat : Subtropical à tropical sec ou humide, supporte la sécheresse.
🔸 Altitude : De 0 à 1 200 m.
🔸 Température : Idéalement entre 20 et 30°C.
🔸 Pluviométrie : 700 à 1 500 mm/an, mais tolère de faibles précipitations.
🔸 Sol : Léger, bien drainé, pauvre à modérément fertile, tolérant aux sols salins.
Association culturale possible : Peut être associé à des cultures pérennes à faible recouvrement comme le vétiver, le manioc (en haie), ou l’ananas.</t>
  </si>
  <si>
    <t xml:space="preserve">Rendement maximal à Madagascar : Jusqu'à 20 T/ha de feuilles fraîches en conditions optimales: 
🔸 Climat : Tempéré chaud à tropical d’altitude, humide.
🔸 Altitude : Idéalement entre 800 et 1 500 m.
🔸 Température : 18 à 25°C.
🔸 Pluviométrie : 1 000 à 1 500 mm/an.
🔸 Sol : Léger, riche en matière organique, bien drainé, pH 5,5 à 6,5.
🔸 Conduite : Multiplication par boutures, récoltes fréquentes tous les 3 à 4 mois, distillation directe après coupe.
Boutures de qualité, amendement organique et bon drainage sont essentiels pour l’huile.
Le rendement maximal est atteint sur sol fertile et bien drainé.
Association culturale possible : compatible avec le ravintsara, le vétiver, ou le citronnelle dans des zones de culture aromatique.
</t>
  </si>
  <si>
    <t>Rendement maximal à Madagascar :
🔹 Jusqu’à 10 t / ha de feuilles fraîches soit 1,5 à 2 t/ha de feuilles sèches, soit 20 à 30 kg/ha d’huile essentielle.
Conditions optimales pour atteindre ce rendement :
🔸 Climat : Méditerranéen à tempéré sec, supporte des conditions semi-arides.
🔸 Altitude : 800 à 1 500 m.
🔸 Température : 15 à 25°C.
🔸 Pluviométrie : 500 à 1 000 mm/an.
🔸 Sol : Léger, bien drainé, calcaire ou sablonneux, pH 6 à 8.
🔸 Conduite : Plantation en rangs serrés, taille de floraison, récolte manuelle, séchage rapide.
Association culturale possible :
🔸 Peut être cultivé avec d’autres plantes aromatiques (romarin, lavande, origan) ou sur les bordures de parcelles maraîchères.</t>
  </si>
  <si>
    <t>Rendement maximal à Madagascar :
🔹 Jusqu’à 15 t/ha en conditions maîtrisées.
Conditions optimales pour atteindre ce rendement :
🔸 Climat : Tempéré à tropical d’altitude (&gt;1 200 m), sans chaleur excessive.
🔸 Altitude : 1 200 à 2 000 m.
🔸 Température : 15 à 22°C.
🔸 Pluviométrie : 1 000 à 1 500 mm/an.
🔸 Sol : Riche en matière organique, bien drainé, pH 5,5 à 6,5.
🔸 Conduite : Paillage, irrigation régulière, protection contre limaces, filets anti-oiseaux, traitement contre oïdium et botrytis.
Association culturale possible :
🔸 Compatible avec laitue, poireau ou épinard en rotation, ou sous ombrage léger d’arbres fruitiers.</t>
  </si>
  <si>
    <t>Filière prometteuse pour le marché international de cacao fin.
 Produit de transformation majeure (chocolat), créateur d’emploi rural.</t>
  </si>
  <si>
    <t>Rendement maximal à Madagascar :
🔹 Environ 800 à 1 200 kg/ha de fèves sèches (qualité fine, export premium).
Conditions optimales pour atteindre ce rendement :
🔸 Climat : Tropical humide à sub-humide, stable toute l’année.
🔸 Altitude : 0 à 800 m.
🔸 Température : 22 à 28°C.
🔸 Pluviométrie : 1 200 à 2 500 mm/an, bien répartie.
🔸 Sol : Profond, bien drainé, riche, pH 5 à 6,5.
🔸 Conduite : Nécessite un ombrage maîtrisé: ombrage partiel (bananiers, musaceae), taille, entretien sanitaire, fermentation maîtrisée.
Association culturale possible :
🔸 S’intègre bien en agroforesterie avec bananiers, ravintsara, vanille, girofle, caféier.</t>
  </si>
  <si>
    <t>Rendement maximal à Madagascar :
– Jusqu’à 1 500  kg de fèves sèches/ha/an en plantation bien conduite.
Conditions optimales pour atteindre ce rendement :
– Climat : équatorial à subéquatorial, chaud et humide
– Température : 22 à 28 °C (tolérance faible au froid et à la sécheresse)
– Pluviométrie : 1 500 à 2 500 mm/an bien répartie, pas de saison sèche marquée
– Altitude : 100 à 800 m (idéalement &lt; 600 m)
– Sol : profond, bien drainé, limono-argileux, riche en matière organique, pH 5,5–7
– Conduite culturale : ombrage léger (bananiers, gliricidia), paillage, élagage annuel, amendement organique, désherbage manuel, lutte intégrée contre capsides, mirides et pourritures des cabosses.
Association culturale possible (Madagascar) :
– Cacaoyer + bananier (ombrage temporaire), vanille en interligne, ou poivre en bordure.
– Bonne synergie en agroforesterie avec canelle, ravintsara, girofle ou caféiers d’ombrage.</t>
  </si>
  <si>
    <t>Le café Arabica est une culture traditionnelle dans les Hautes Terres. Il représente un produit stratégique pour les petits producteurs, notamment en zones enclavées. La qualité est appréciée, mais les volumes sont faibles. Les contraintes majeures sont le vieillissement des plantations, le manque d’entretien, les aléas climatiques et l’insuffisance de transformation locale. Des efforts sont en cours pour promouvoir des cafés de spécialité et améliorer les revenus paysans à travers les labels et les coopératives.
Café arabica valorisé sur le marché niche (bio, spécialité), bon retour si qualité maîtrisée.</t>
  </si>
  <si>
    <t xml:space="preserve">Rendement maximal à Madagascar :
– 800 kg de café vert/ha/an, voire jusqu’à 1 500 kg en plantation intensive.
Conditions optimales pour atteindre ce rendement :
– Altitude : 1 000 à 1 800 m (idéalement 1 200–1 600 m)
– Climat : tempéré tropical humide
– Température : 15 à 23 °C, pas de gel
– Pluviométrie : 1 200 à 2 000 mm/an avec une courte saison sèche (stress hydrique stimulant la floraison)
– Sol : volcanique ou riche en humus, pH 5,5 à 6,5, bien drainé
– Conduite culturale : ombrage naturel ou artificiel, taille en gobelet, désherbage manuel, fertilisation organique, traitement contre rouille et antracnose.
Association culturale possible (Madagascar) :
– Caféier + acacia, avocatier, bananier pour ombrage
– Possibilité de culture intercalaire avec haricot, gingembre ou ananas.
</t>
  </si>
  <si>
    <t xml:space="preserve">Rendement maximal à Madagascar :
– Jusqu’à 1500 kg de café vert/ha/an en plantation bien gérée.
Conditions optimales pour atteindre ce rendement :
– Altitude : 0 à 800 m
– Climat : chaud et humide, équatorial ou tropical humide
– Température : 22 à 30 °C
– Pluviométrie : 1 500 à 2 500 mm/an, sans période sèche prolongée
– Sol : profond, bien drainé, pH 5,5–6,5
– Conduite culturale : densité 2 000–3 000 plants/ha, taille de formation, entretien régulier, lutte contre scolytes et nématodes.
Association culturale possible (Madagascar) :
– Robusta en association avec bananier, papayer, manioc, maïs, voire girofle sur les bordures.
– Compatible avec cultures pérennes dans zones humides côtières.
</t>
  </si>
  <si>
    <t xml:space="preserve">• Rendement maximal à Madagascar : 15 tonnes/ha si plantation bien gérée.
 • Conditions optimales nécessaires : climat chaud-subhumide, altitude &lt; 800 m, sol limono-sableux bien drainé, pH 5,5–6,5, irrigation régulière (600–900 mm/an), taille d’entretien annuelle, fertilisation organique et minérale équilibrée, protection contre les pucerons et maladies fongiques.
Apport régulier de potasse (cendre de bois ou compost) optimise la production de fruits.
 • Association culturale idéale : culture intercalaire avec des légumineuses (niébé, pois d’Angole) ou aromatiques (citronnelle) pour diversifier les revenus et enrichir le sol.
</t>
  </si>
  <si>
    <t xml:space="preserve">• Rendement maximal à Madagascar : environ 1,5 t/ha.
 • Conditions optimales nécessaires : sol sablo-limoneux léger ( Rendement meilleur sur sols bien ameublis et après des pratiques de conservation (brise-vent), altitude 0–800 m, climat chaud et semi-aride, 500–800 mm/an, semis en ligne, éclaircissage à 15 cm, fumure légère, désherbage systématique initial.
 • Association culturale idéale : intercalaire avec niébé ou pois de Bambara pour la fixation d’azote.
</t>
  </si>
  <si>
    <t xml:space="preserve">• Rendement maximal à Madagascar : 2,5 tonnes/ha
 • Conditions optimales nécessaires :
 • Sol limono-sableux, bien drainé, pH 5,5 à 6,5
 • Altitude : 200 à 1 400 m
 • Température : 20 à 30 °C
 • Pluviométrie : 700 à 1 200 mm pendant le cycle
 • Bon rendement avec désherbage au stade 2-4 feuilles et fertilisation de fond modérée.
 • Rotation utile avec maïs, arachide, ou manioc ; association maïs-soja bénéfique.
</t>
  </si>
  <si>
    <t xml:space="preserve">Le soja est une culture stratégique pour l’alimentation, la nutrition, la fertilité des sols (rotation), et le développement des filières agroalimentaires (tofu, lait de soja, aliments pour bétail).
Des zones de production se développent à Alaotra, Itasy, Vakinankaratra, mais la filière reste encore peu structurée. </t>
  </si>
  <si>
    <t xml:space="preserve">La citronnelle des Indes est très présente dans les Hautes Terres, régions humides de l’Est, et dans certains projets agroécologiques. Elle est peu exigeante, bien adaptée aux petites exploitations, et valorisable sous différentes formes (tisane, huile, répulsif naturel, cosmétique). Sa culture est promue dans des projets comme ceux du Ministère, FOFIFA, ONG locales, et des coopératives d’HE. Son huile essentielle a une forte valeur ajoutée à l’export, surtout en bio.
</t>
  </si>
  <si>
    <t>• Rendement maximal à Madagascar : 25 t/ha de feuilles ou tiges fraîches.
 • Conditions optimales nécessaires : altitude 0–1200 m, sol léger, ferme et bien drainé, pH 6–7, climat chaud humide (20–30 °C), irrigation régulière sans stagnation, taille semestrielle, paillage organique.
aromatiques, coupe stricte à 10 cm au-dessus du sol favorise la repousse multiple, apports organiques améliorent la densité des tiges et l’arôme.
 • Association culturale idéale : planches mixtes avec basilic ou stevia</t>
  </si>
  <si>
    <t>• Rendement maximal à Madagascar : 80 t/ha de tiges fraîches (12 à 16 t/ha de sucre brut possible).
 • Conditions optimales nécessaires : climat chaud-humide tropical, altitude &lt; 800 m, sol limoneux profond et fertile, pH 6–7, irrigation régulière, fertilisation régulière (NPK + compost), contrôle des adventices et maladies.
Plantations franches de boutures bien calibrées assurent une bonne productivité ligneuse.
 • Association culturale idéale : rotation avec légumineuses ou sorgho, intercalaire temporaire avec niébé.</t>
  </si>
  <si>
    <t xml:space="preserve">À Madagascar, les variétés les plus utilisées sont :
– R570, une variété très productive originaire de La Réunion, M-Bambou 56-14, NCO-310,
– Et d’autres variétés locales sélectionnées par le FOFIFA pour leur adaptation aux zones spécifiques.
La canne à sucre est un pilier de la production sucrière industrielle à Madagascar (SUCOMA, SUCREMADA, SIRAMA), mais aussi utilisée par des producteurs paysans pour la fabrication artisanale de jus, sirop, rhum traditionnel (toaka gasy), et pour la vente directe. La filière sucrière connaît des défis liés à l’investissement, la modernisation, et la concurrence du sucre importé. La valorisation des résidus (bagasse, compost) et la production bio gagnent en intérêt.
</t>
  </si>
  <si>
    <t xml:space="preserve">Madagascar est reconnu comme un pays producteur de poivre de qualité, notamment biologique et équitable, destiné à l’exportation (Europe, États-Unis, Asie). La filière est dominée par des petits producteurs, souvent organisés en coopératives, appuyés par des ONG ou des entreprises exportatrices. La valorisation locale reste faible. Le poivre est aussi intégré dans des systèmes agroforestiers (avec girofle, café, banane). Il représente une culture de rente stratégique dans les zones humides.
Prix élevé du poivre noir malgache à l’export, forte valeur ajoutée si séchage et tri maîtrisés.
 En développement dans SAVA, Analanjirofo, DIANA </t>
  </si>
  <si>
    <t>Rendement maximal à Madagascar :
– 1 000 kg de poivre sec/ha/an en plantation adulte bien gérée.
Conditions optimales pour atteindre ce rendement :
– Altitude : 0 à 800 m
– Climat : tropical humide, sans sécheresse prolongée
– Température : 25 à 30 °C
– Pluviométrie : 1 500 à 2 500 mm/an
– Sol : bien drainé, riche en humus, légèrement acide à neutre (pH 5,5–6,5)
– Conduite culturale :  boutures sélectionnées, tuteurs vivants (gliricidia, jatropha), palissage, taille annuelle, irrigation en saison sèche, lutte contre pourriture racinaire et anthracnose.
Association culturale possible (Madagascar) :Poivre sur tuteurs vivants (gliricidia, moringa), intercalaire possible avec légumineuses (niébé, arachide) ou patate douce
– En bordure de parcelles de girofle ou vanille.</t>
  </si>
  <si>
    <t xml:space="preserve">• Rendement maximal à Madagascar : 1,2 t/ha
 • Conditions pour rendement optimal :  Climat : semi-aride à tempéré, sec pendant la floraison et la maturation, Sol : léger, bien drainé, Altitude : 700–1 500 m, Température : 15–25°C, Pluviométrie : 300–500 mm bien répartis, sécheresse à la maturité
 • Conduite : semis direct, désherbage mécanique, rotation avec céréales
 • Association culturale possible : céréales (blé, orge), carotte, pois chiche : amélioration des rendements
</t>
  </si>
  <si>
    <t xml:space="preserve">• Rendement maximal à Madagascar : 2 t/ha
 • Conditions pour rendement optimal : Climat : tempéré, frais à , Sol : limono-sableux, bien drainé, pH 6–7, altitude : 1 200–1 800 m, Température : 12–20°C, Pluviométrie : 400–600 mm
 • Conduite : semis en lignes, binage, apport modéré d’azote
 • Association culturale possible : lentille, pois, féverole, trèfle
</t>
  </si>
  <si>
    <t>• Rendement maximal à Madagascar : 2,5 t/ha (zones hautes)
 • Conditions pour rendement optimal :
 • Climat : tempéré, saison fraîche (semis mai-juin)
 • Sol : argilo-limoneux, riche en matière organique
 • Altitude : &gt;1 200 m
 • Température : 10–22°C
 • Pluviométrie : 400–600 mm
 • Conduite : semis en lignes, fertilisation NPK équilibrée, lutte contre rouille
 • Association culturale possible : lentille, pois chiche, pomme de terre</t>
  </si>
  <si>
    <t xml:space="preserve">• Rendement maximal à Madagascar : 6-8 t/ha (feuilles) ;jusqu'à 1 t/ha (graines)
 • Conditions pour rendement optimal :
 • Climat : subtropical à tempéré, frais
 • Sol : léger, bien drainé, riche en humus
 • Altitude : 800–1 800 m
 • Température : 18–25°C
 • Pluviométrie : 600–900 mm
 • Conduite : Utilisation de variétés à bulbes développés pour la consommation fraîche, semis en lignes, paillage, éclaircissage, récolte à maturité physiologique
 • Association culturale possible : oignon, carotte, céleri, chou
</t>
  </si>
  <si>
    <t>• Rendement maximal à Madagascar : 2 t/ha
 • Conditions pour rendement optimal :
 • Climat : semi-aride à subhumide, saison sèche
 • Sol : léger, sablo-limoneux, bien drainé
 • Altitude : 400–1 200 m
 • Température : 20–30°C
 • Pluviométrie : 350–600 mm, préférence pour sécheresse en maturation
 • Conduite : semis direct, binage manuel, rotation avec céréales
 • Association culturale possible : blé, lentille, mil, carotte</t>
  </si>
  <si>
    <t>• Rendement maximal à Madagascar : 3 tonnes de feuilles sèches/ha
 • Conditions optimales nécessaires :
 • Sols bien drainés, sablo-limoneux, riches en matière organique
 • pH : 6 à 7
 • Altitude : 500 à 1 500 m
 • Température : 20 à 28 °C
 • Bonne exposition au soleil, irrigation régulière sans excès
Multiplication par bouturage, récolte manuelle à 3-4 mois d’intervalle, séchage à l’ombre.
 • Association culturale idéale : avec citronnelle ou basilic pour mutualiser l’entretien.</t>
  </si>
  <si>
    <t xml:space="preserve">• Rendement maximal à Madagascar :
 • Feuilles fraîches : 10 à 12 t/ha/an
  • Graines : 1 à 1,5 t/ha/an
 • Conditions optimales pour atteindre ce rendement :
 • Altitude : 0 à 1 400 m
 • Température : 25 à 35°C (tolère la chaleur extrême)
 • Pluviométrie : 400 à 1 200 mm/an, tolère sécheresse
 • Sol : sablo-limoneux, bien drainé, pH 6,0 à 7,5
 • Climat : tropical sec à subhumide
 • Conduite : Taille fréquente favorise la repousse rapide des feuilles comestibles; taille régulière, irrigation si possible en saison sèche
 • Association culturale possible : cultures vivrières en intercalaire : arachide, haricot, patate douce
</t>
  </si>
  <si>
    <t>Locale améliorée (ex. Mangahazo fotsy, Tsimiramy, Sahobary)</t>
  </si>
  <si>
    <t xml:space="preserve">• Rendement maximal à Madagascar : 20 t/ha en zone favorable.
 • Conditions optimales pour rendement maximal :
 • Climat : Tropical sec à humide.
 • Pluviométrie : 800 à 1 200 mm/an.
 • Altitude : 0 à 1 200 m.
 • Sols légers à moyens, profonds, bien drainés.
 • Période de plantation : Fin de saison des pluies.
 • Repiquage de boutures saines de 20 à 25 cm; Si les boutures sont sélectionnées et bien orientées (verticalement), l’enracinement est optimal.
 • Association culturale idéale : Haricot, arachide, maïs, niébé (intercalaire).
</t>
  </si>
  <si>
    <t>• Rendement maximal à Madagascar : 3 t/ha de graines (bonnes pratiques + variété sélectionnée)
 • Conditions optimales pour atteindre ce rendement :
 • Altitude : 0 à 1 500 m
 • Température : 20 à 30°C
 • Pluviométrie : 500 à 900 mm/an
 • Sol : bien drainé, même pauvre, mais profond ; pH 5,5 à 7
 • Climat : tropical sec à subhumide ; supporte chaleur et sécheresse
 • Conduite : semis direct, sarclage, désherbage, pas d’irrigation nécessaire sauf en cas de stress prolongé ; récolte échelonnée des capsules
 • Association culturale possible : avec arachide, haricot, niébé, maïs;  En haie ou bordure protectrice autour des champs</t>
  </si>
  <si>
    <t>• Rendement maximal à Madagascar :
 • Jusqu'à 1200 kg de gousses vertes/ha/an (soit environ 200-300 kg de vanille préparée)
 • Conditions optimales pour atteindre ce rendement :
 • Altitude : 0 à 700 m
 • Température : 21 à 30°C
 • Pluviométrie : 1 500 à 3 000 mm/an
 • Sol : humifère, bien drainé, riche en matière organique, pH 6 à 7
 • Climat : chaud, humide, sans sécheresse prolongée ; ombrage naturel ou artificiel à 50%
 • Conduite : plantation sur tuteur vivant (caféier, bananier) ; palissage, taille, fécondation manuelle, paillage, protection contre vol et maladies (fusariose, pourriture des gousses)
 • Association culturale possible : tuteurs vivants : café, girofle, bananier / avec les cultures d’ombrage : arbres à croissance rapide</t>
  </si>
  <si>
    <t>• Rendement maximal à Madagascar : 1,8 à 2,5 t/ha de grains ou 6 à 8 t /ha de gousses vertes (en zone haute et fraîche, avec bonne conduite culturale)
 • Conditions optimales pour atteindre ce rendement :
 • Altitude : 1 200 à 2 000 m
 • Température : 12 à 20°C
 • Pluviométrie : 600 à 900 mm bien répartie
 • Sol : léger, bien drainé, riche en humus (pH 6 à 7)
 • Climat : tempéré frais, saison sèche courte pour floraison
 • Conduite : semis direct à 50x10 cm ; sarclage, buttage, tuteurage ; pas d’excès d’humidité ; protection contre les pucerons et l’oïdium
 • Association culturale possible : Maïs, carotte, radis, laitue ; rotation avec céréales (blé, orge)</t>
  </si>
  <si>
    <t xml:space="preserve">Plante pérenne, qui peut produire pendant 60 à 80 ans. Les premières productions commerciales apparaissent à partir de 6 à 7 ans pour les cocotiers hauts, dès 3 à 4 ans pour les variétés naines.
Le cocotier est surtout cultivé dans les régions côtières : Atsinanana, Analanjirofo, Diana, Sava, Boeny, Melaky, Menabe. 
Il est souvent exploité de manière extensive, en bord de mer ou dans les zones rurales reculées. Le coprah est encore sous-exploité industriellement. L’huile de coco connaît un regain d’intérêt, notamment dans la cosmétique et l’alimentation saine. Il existe un potentiel de valorisation à travers les chaînes de valeur locales, les coopératives, et le tourisme.
</t>
  </si>
  <si>
    <t>• Rendement maximal à Madagascar : 6 000 à 10 000 noix/ha/an (variété améliorée bien conduite)
 • Conditions optimales pour atteindre ce rendement :
 • Altitude : 0 à 500 m
 • Température : 25 à 32°C
 • Pluviométrie : &gt;1 500 mm/an, bien répartie
 • Sol : sableux-limoneux, bien drainé, riche en matière organique, pH 5,5–7
 • Climat : tropical humide ou subhumide ; pas de vents violents
 • Conduite : espacement 9x9 m ou 8x8 ( Recommandation de plantation en triangle pour usage optimal de l’espace) ; désherbage, fumure organique, irrigation en saison sèche
 • Association culturale possible :
 • Cultures intercalaires : ananas, patate douce, gingembre, manioc, arachide</t>
  </si>
  <si>
    <t>• Rendement maximal à Madagascar : 30 à 40 kg de feuilles/arbre/an ; jusqu’à 300 kg d’huile essentielle/ha/an
 • Conditions optimales pour atteindre ce rendement :
 • Altitude : 800 à 1 200 m
 • Température : 15 à 28°C
 • Pluviométrie : &gt;1 200 mm/an
 • Sol : bien drainé, humifère, léger à moyen, pH 5,5 à 7
 • Climat : subhumide à humide, pas de gelées, zones forestières ou agroforestières
 • Conduite : plantation en haie ou alignement,  taille douce, récolte feuillage tous les 6 mois, distillation à la vapeur
 • Association culturale possible : Agroforesterie avec girofle, cannelle, café, citronnelle</t>
  </si>
  <si>
    <t xml:space="preserve">
</t>
  </si>
  <si>
    <t>Prix_de_semence_par_kg</t>
  </si>
  <si>
    <t>Duree_du_cycle_vegetatif_minimum_en_jours</t>
  </si>
  <si>
    <t>Duree_du_cycle_vegetatif_maximum_en_jours</t>
  </si>
  <si>
    <t>Fertilisation_organique_type_et_dose</t>
  </si>
  <si>
    <t>fertilisation_minerale_Type_et_dose</t>
  </si>
  <si>
    <t>Quantite_NPK_en_Kg</t>
  </si>
  <si>
    <t>Quantite_Uree_en_Kg</t>
  </si>
  <si>
    <t>Quantite_Autres_types_de_fertilisation_minieral_K2SO4_en_Kg</t>
  </si>
  <si>
    <t>Prix_autres_types_de_fertilisation_mineral_par_Kg</t>
  </si>
  <si>
    <t>Mo_plantation</t>
  </si>
  <si>
    <t>prix_MO_HJ</t>
  </si>
  <si>
    <t>Cout_total_de_production_Pour_1Ha</t>
  </si>
  <si>
    <t>Rappel_Quantie_de_production_en_Kg</t>
  </si>
  <si>
    <t>TOTAL_Recolte_et_conditionnement</t>
  </si>
  <si>
    <r>
      <t xml:space="preserve">Originaire d'Europe et d'Asie Occidentale, le cresson est une plante herbacée vivace. Elle  possède des tiges creuses et charnues qui peuvent atteindre 30 à 50 cm de hauteur. Ses feuilles sont petites de forme arrondie à ovales, avec des bords légèrement crénelés, et d'un vert intense. Les racines sont fines et ramifiées, souvent immergées dans l'eauc car elle pousse dans l'eau en général. Ses fleurs sont petites et blanches à quatre pétales disposées en grappes. Le cresson a un goût piquant et légèrement amer .
</t>
    </r>
    <r>
      <rPr>
        <sz val="12"/>
        <color rgb="FFFF0000"/>
        <rFont val="Calibri"/>
        <family val="2"/>
      </rPr>
      <t>Plante herbacée semi-aquatique, à tiges creuses, rampantes et rameuses, produisant des feuilles vert foncé, ovales à bord dentelé. Elle est cultivée pour ses feuilles comestibles riches en vitamines A et C.
Historique : Introduit à Madagascar pour ses vertus nutritionnelles, le cresson est souvent cultivé en zones humides, proches des sources d’eau.</t>
    </r>
    <r>
      <rPr>
        <sz val="12"/>
        <color rgb="FF000000"/>
        <rFont val="Calibri"/>
        <family val="2"/>
      </rPr>
      <t xml:space="preserve">
</t>
    </r>
  </si>
  <si>
    <t>Coût préparation de la pépinière</t>
  </si>
  <si>
    <t>Coût préparation du terrain 1 Ha</t>
  </si>
  <si>
    <t>TOTAL Préparation terrain</t>
  </si>
  <si>
    <t>Coût des travaux d'entretiens (main d'œuvre)</t>
  </si>
  <si>
    <t>TOTAL Main d'œuvre</t>
  </si>
  <si>
    <t>Coût des intrants agricoles</t>
  </si>
  <si>
    <t>TOTAL Intrants agricoles</t>
  </si>
  <si>
    <t>Récolte et conditionnement</t>
  </si>
  <si>
    <t>Préparation sol pépinière</t>
  </si>
  <si>
    <t>Semis pépinière</t>
  </si>
  <si>
    <t>Traitement Phyto Pépinière</t>
  </si>
  <si>
    <t>Epandage engrais</t>
  </si>
  <si>
    <t>Fertilisation O pépinière</t>
  </si>
  <si>
    <t>Fertilisation M pépinière: Urée</t>
  </si>
  <si>
    <t>Fertilisation M pépinière: K2SO4</t>
  </si>
  <si>
    <t>Fertilisation M pépinière: NPK</t>
  </si>
  <si>
    <t>Defrichage</t>
  </si>
  <si>
    <r>
      <t xml:space="preserve">Labour </t>
    </r>
    <r>
      <rPr>
        <b/>
        <sz val="12"/>
        <color rgb="FFFF0000"/>
        <rFont val="Calibri"/>
        <family val="2"/>
      </rPr>
      <t>(manuel ou charrue) + hersage</t>
    </r>
  </si>
  <si>
    <t>Autre</t>
  </si>
  <si>
    <t>Semis manuel</t>
  </si>
  <si>
    <t>Repiquage/Transplantation (si existence de pépinière)</t>
  </si>
  <si>
    <t>Sarclo buttage manuel</t>
  </si>
  <si>
    <t>Epandage FM et FO</t>
  </si>
  <si>
    <t xml:space="preserve">Traitement Phytosanitaire </t>
  </si>
  <si>
    <t>Arrosage</t>
  </si>
  <si>
    <t>Autres</t>
  </si>
  <si>
    <t>Semences</t>
  </si>
  <si>
    <t>Fumure organique: Fumier</t>
  </si>
  <si>
    <t>Fumure organique:Compost</t>
  </si>
  <si>
    <t>NPK</t>
  </si>
  <si>
    <t>Urée</t>
  </si>
  <si>
    <t>Dolomie</t>
  </si>
  <si>
    <t>Pesticides/insecticides</t>
  </si>
  <si>
    <t>Fongicides</t>
  </si>
  <si>
    <t>Sacs</t>
  </si>
  <si>
    <t>Autres: EM K2SO4</t>
  </si>
  <si>
    <t>Récolte</t>
  </si>
  <si>
    <t xml:space="preserve"> Battage</t>
  </si>
  <si>
    <r>
      <t xml:space="preserve">Egrenage </t>
    </r>
    <r>
      <rPr>
        <b/>
        <sz val="12"/>
        <color rgb="FFFF0000"/>
        <rFont val="Calibri"/>
        <family val="2"/>
      </rPr>
      <t xml:space="preserve">et/ou </t>
    </r>
    <r>
      <rPr>
        <b/>
        <sz val="12"/>
        <color theme="1"/>
        <rFont val="Calibri"/>
        <family val="2"/>
      </rPr>
      <t>séchage</t>
    </r>
  </si>
  <si>
    <t>Vannage</t>
  </si>
  <si>
    <t>Mise en sac</t>
  </si>
  <si>
    <t>Transport</t>
  </si>
  <si>
    <t>Unité</t>
  </si>
  <si>
    <t>Quantité</t>
  </si>
  <si>
    <t>PU</t>
  </si>
  <si>
    <t>total</t>
  </si>
  <si>
    <t xml:space="preserve"> En général peu nécessaire grâce à la fixation symbiotique de l’azote.</t>
  </si>
  <si>
    <t>Fleur 11</t>
  </si>
  <si>
    <t>Donga</t>
  </si>
  <si>
    <t>Arachis</t>
  </si>
  <si>
    <t>Arachis hypogaea L.</t>
  </si>
  <si>
    <t>Arachide, voanjo gasy, pistache</t>
  </si>
  <si>
    <t>Arachide Fleur 11
Voanjo Fleur 11</t>
  </si>
  <si>
    <t>Variété sélectionnée pour sa productivité et la qualité de ses grains (gousses à 2–3 grains bien remplis, gros calibre, goût apprécié). Cultivée depuis plusieurs décennies à Madagascar, surtout sur les Hautes Terres et l’Ouest. Adaptée à la commercialisation (grains de belle apparence).</t>
  </si>
  <si>
    <t>0–1 200 m ; optimum 0–800 m</t>
  </si>
  <si>
    <t>Sol sablo-limoneux à limono-sableux, bien drainé ; pH 6,0–7,0. Intolérante aux sols hydromorphes.</t>
  </si>
  <si>
    <t>Optimum 24–30 °C ; seuils : 18–35 °C.</t>
  </si>
  <si>
    <t>600–800 mm bien répartis ; forte sensibilité aux sécheresses à floraison et remplissage des gousses</t>
  </si>
  <si>
    <t>Tropical chaud, subhumide à semi-aride, avec saison des pluies régulière</t>
  </si>
  <si>
    <t xml:space="preserve"> • Hautes Terres et zones centrales : octobre–novembre après les premières pluies.
 • Ouest et Nord-Ouest : novembre–décembre.
 • Possibilité de semis de contre-saison (mars–avril) avec irrigation.
</t>
  </si>
  <si>
    <t xml:space="preserve"> • Semi-érigée : 50 cm × 15 cm (≈133 000 plants/ha).
 • Alternatif : 60 × 10 cm (≈166 000 plants/ha) selon mécanisation et taille des graines.
</t>
  </si>
  <si>
    <t xml:space="preserve">Graines décortiquées, calibrées, saines (≥85 % germination), traitées contre champignons/insectes si possible.
Type de semence : Graine.
Quantité min (kg/ha) : 80 kg.
Quantité max (kg/ha) : 120 kg.
</t>
  </si>
  <si>
    <t>Quand 70–80 % des gousses sont remplies, filets internes brunis, fanes jaunies. Arrachage à la houe, séchage rapide (2–3 jours soleil, ensuite stockage sous abri ventilé, humidité &lt;9 %)</t>
  </si>
  <si>
    <t xml:space="preserve"> • Labour superficiel ou sous-solage léger pour sol compact.
 • Lit de semence fin et meuble.
 • Planage pour éviter les stagnations d’eau.
</t>
  </si>
  <si>
    <t xml:space="preserve"> • Sarclages : 2–3 passages aux 2 premières semaines et vers 30–40 jours.
 • Buttage léger à la nouaison.
 • Irrigation complémentaire si sécheresse prolongée.
 • Inoculation en zones pauvres en nodulation naturelle.
</t>
  </si>
  <si>
    <t>Compost ou fumier décomposé : 5–10 t/ha incorporés avant semis.</t>
  </si>
  <si>
    <t>• Dolomie : 1–2 t/ha si pH &lt;5,5.
• Éviter engrais azotés en excès (diminue nodulation).
* K2SO4: 20-40 Kg/ha</t>
  </si>
  <si>
    <t xml:space="preserve"> • Taches foliaires (Cercospora spp.) : taches brun-rouge → rotation, variétés tolérantes, fongicides si besoin.
 • Rouille : pustules orangées → rotation, variétés tolérantes, fongicides si besoin.
 + Surveillance.
 • Rosette de l’arachide (virus) : mosaïques, nanisme → semences saines, lutte anti-pucerons, semis précoce.
 • Pourriture du collet (Sclerotium) : flétrissement → rotation, hygiène culturale.
 • Aflatoxine : invisible → séchage rapide, stockage sec, récolte à maturité.
</t>
  </si>
  <si>
    <t xml:space="preserve"> • Pucerons (feuilles enroulées, miellat) → savon noir, huiles végétales, lutte biologique.
 • Thrips (stries argentées) → arrosage régulier, traitements ciblés si seuil atteint.
 • Chenilles foreuses (Helicoverpa) → pièges lumineux, Bacillus thuringiensis.
 • Termites (attaques racines/gousses en sols secs) → irrigation, MO, appâts localisés.
 • Rongeurs et oiseaux → protection en récolte/séchage.
</t>
  </si>
  <si>
    <t xml:space="preserve"> • Fleur 11 est plus exigeante en eau que Donga (moins tolérante à sécheresse).
 • Cycle plus long → sensible aux retards de semis (risque sécheresse en fin de cycle).
 • Valorisation forte si tri qualité (grains gros, homogènes).
 • L’aflatoxine reste la principale contrainte pour la vente formelle.
“Fleur 11” est appréciée sur marchés locaux et urbains pour son calibre et son goût. Répandue dans les régions Ouest (Boeny, Menabe, Atsimo-Andrefana) et Hautes Terres chaudes. Débouchés stables en huile et consommation directe.
</t>
  </si>
  <si>
    <t>Arachide Donga
Voanjo Donga</t>
  </si>
  <si>
    <t>Variété hâtive sélectionnée pour zones à pluviométrie irrégulière, gousses à 1–2 grains, bonne tolérance au stress hydrique modéré, adaptée aux sols légers et aux rotations céréalières.</t>
  </si>
  <si>
    <t>Limon-sableux à sablo‑limoneux, très bien drainé ; pH 5,5–7,0 (idéal 6,0–6,5) ; sols pauvres en azote acceptés si inoculation efficace ; éviter argiles lourdes et hydromorphie.</t>
  </si>
  <si>
    <t>Optimum 24–30 °C ; seuils approximatifs 18–35 °C ; températures &lt;18 °C ralentissent levée et floraison.</t>
  </si>
  <si>
    <t>500–700 mm bien répartis sur le cycle ; stades critiques = floraison–nouaison–remplissage gousses ; tolère courte sécheresse, n’aime pas l’excès d’eau.</t>
  </si>
  <si>
    <t xml:space="preserve">Tropical subhumide à semi‑aride ; plein soleil ; vents modérés </t>
  </si>
  <si>
    <t xml:space="preserve">• Côtes Ouest / Sud-Ouest : avec les premières pluies de la saison des pluies, nov.–déc. ; éventuel second semis mars–avril sur humidité résiduelle.
 • Hautes Terres : oct.–nov. après les premières pluies régulières.
</t>
  </si>
  <si>
    <t xml:space="preserve">graines décortiquées saines, calibrées, traitées fongicide/insecticide si disponible ; pouvoir germinatif ≥85 %.
Quantité de semence min (kg/ha) : 80 kg/ha (grains petits/moyens, bonne levée).
Quantité de semence max (kg/ha) : 120 kg/ha (gros grains, terrains secs, resemis)
</t>
  </si>
  <si>
    <t xml:space="preserve">• Décompactage léger, faux‑semis si possible.
 • Lit de semence meuble et fin, buttes basses sur sols lourds ; planage pour éviter flaques.
 • Correction du pH si &lt;5,5 : dolomie 1–2 t/ha 3–4 semaines avant semis.
</t>
  </si>
  <si>
    <t xml:space="preserve"> • Désherbage : 2–3 sarclages précoces (J15–20, J35–40, puis si besoin). Pendiméthaline pré‑levée possible (selon disponibilité).
 • Irrigation (si disponible) : 30–40 mm/sem. aux stades floraison–remplissage.
 • Buttage léger à la nouaison pour protéger les peg et réduire les gousses vertes.
 • Apports calciques à la nouaison (voir gypse).
 • Surveillance post‑récolte : séchage rapide, tri anti‑moisissures (aflatoxine).
</t>
  </si>
  <si>
    <t xml:space="preserve">• Taches foliaires (précoce/tardive – Cercospora spp.) : taches brunes/oléagineuses → rotation 3–4 ans, variétés tolérantes, espacements aérés, fongicides au besoin.
 • Rouille (Puccinia arachidis) : pustules orangées → mêmes mesures + variétés tolérantes.
 • Rosette de l’arachide (complexe viral) : nanisme, mosaïques → lutte anti‑pucerons (vecteurs), semis précoces, semences saines.
 • Pourriture du collet (Sclerotium rolfsii) : flétrissement, mycélium blanc au collet → rotation, hygiène, solarisation localisée, fongicides sols si disponibles.
 • Aflatoxine (Aspergillus flavus/parasiticus) : invisible ; risque élevé si sécheresse/stockage humide → semis à bonne date, gypse pour bon remplissage, séchage ≤48 h, stockage sec et ventilé, tri strict.
</t>
  </si>
  <si>
    <t xml:space="preserve"> • Pucerons (Aphis craccivora) : feuilles enroulées, miellat → savon noir, huiles végétales, parasitoïdes, filets anti‑pucerons, traitement ciblé si seuils dépassés.
 • Thrips : stries argentées, déformations → irrigation régulière, paillage, traitements ciblés si nécessaire.
 • Mineuse de la feuille (Aproaerema modicella) : galeries/mottling → surveillance précoce, récolte des résidus, Bt si disponible.
 • Chenilles/vers de gousses (Helicoverpa, noctuelles) : perforations → piégeage lumineux/pheromonique, Bt, traitements au seuil.
 • Termites : attaques sur gousses et racines en sol sec → arrosage régulier, enfouissement de matière organique bien décomposée, appâts localisés.
 • Rongeurs/oiseaux : surveillance récolte/séchage, séchage sous abri.
</t>
  </si>
  <si>
    <t xml:space="preserve">• Ne pas surdoser l’azote (diminue nodulation).
 • Le calcium conditionne directement le remplissage des gousses (gypse stratégique).
 • La date de semis est le levier n°1 en pluvial : viser juste derrière les premières pluies régulières.
 • L’aflatoxine se gère au champ (stress hydrique, maturité) et après (séchage/stockage).
 • Conserver semences à part, au frais et au sec ; renouveler tous les 2–3 cycles.
</t>
  </si>
  <si>
    <t>Solanum macrocarpon</t>
  </si>
  <si>
    <t>Angivy variétés locales</t>
  </si>
  <si>
    <t>Angivy, Aubergine amère africaine</t>
  </si>
  <si>
    <t>Aubergine africaine
Angivy</t>
  </si>
  <si>
    <t>L’angivy est une solanacée originaire d’Afrique, introduite et largement cultivée à Madagascar, notamment sur les Hautes Terres. C’est un légume fruit très apprécié pour sa saveur amère caractéristique. Il est consommé en sauce, en bouillon ou accompagné de viande et poisson. Il joue un rôle important dans l’alimentation traditionnelle malgache.</t>
  </si>
  <si>
    <t>Pérenne (souvent conduite comme annuelle en culture maraîchère)</t>
  </si>
  <si>
    <t>0 – 1 800 m (optimum 800 – 1 500 m sur Hautes Terres)</t>
  </si>
  <si>
    <t>Sols limono-sableux, bien drainés, riches en matière organique, pH 5,5 – 7,0</t>
  </si>
  <si>
    <t>20 – 30 °C (sensible au froid &lt; 15 °C)</t>
  </si>
  <si>
    <t>800 – 1 200 mm/an, nécessite arrosages réguliers en saison sèche</t>
  </si>
  <si>
    <t>Tropical humide, sub-humide ou tempéré chaud des Hautes Terres</t>
  </si>
  <si>
    <t>Début saison des pluies (octobre – décembre) ou toute l’année sous irrigation</t>
  </si>
  <si>
    <t>40 000 – 45 000 plants/ha (écartement 0,8 m x 0,3 m)</t>
  </si>
  <si>
    <t xml:space="preserve">Graines
 Quantité de semence : 300 – 500 g/ha
</t>
  </si>
  <si>
    <t>3 – 5 mois après semis, récolte échelonnée pendant 2 à 3 mois</t>
  </si>
  <si>
    <t xml:space="preserve"> • Labour profond (20 – 30 cm), émiettement, billonnage si sol lourd
 • Incorporation de fumier bien décomposé
</t>
  </si>
  <si>
    <t xml:space="preserve"> • Sarclages réguliers contre les adventices
 • Arrosages fréquents en saison sèche (2 – 3 fois/semaine)
 • Paillage recommandé pour conserver l’humidité et limiter les mauvaises herbes
</t>
  </si>
  <si>
    <t>20 – 30 t/ha de fumier bien décomposé</t>
  </si>
  <si>
    <t xml:space="preserve">• Pucerons (Aphis gossypii) : déformations foliaires, jaunissement ; lutte : savon noir, extraits de neem, rotation
 • Mouche mineuse (Liriomyza spp.) : galeries blanchâtres dans les feuilles ; lutte : lutte intégrée, filets anti-insectes
 • Charançon des solanacées : perforations sur tiges et fruits ; lutte : rotation, pièges, destruction des résidus
</t>
  </si>
  <si>
    <t xml:space="preserve"> • Flétrissure bactérienne (Ralstonia solanacearum) : flétrissement brutal, brunissement vasculaire ; lutte : rotation avec céréales, utilisation de semences saines
 • Mildiou (Phytophthora infestans) : taches brunes avec halo jaunâtre, pourriture des fruits ; lutte : traitements préventifs (bouillie bordelaise), aération de la culture
 • Oïdium : feutrage blanc sur feuilles ; lutte : décoction de soufre, traitement au soufre mouillable
</t>
  </si>
  <si>
    <t>Production concentrée sur les Hautes Terres (Analamanga, Vakinankaratra, Itasy) avec écoulement facile sur marchés urbains.</t>
  </si>
  <si>
    <t>Hylocereus</t>
  </si>
  <si>
    <t>Hylocereus undatus (fruit du dragon à pulpe blanche), Hylocereus costaricensis (pulpe rouge), Hylocereus megalanthus (à peau jaune)</t>
  </si>
  <si>
    <t>Pitaya rouge, pitaya blanc, pitaya jaune</t>
  </si>
  <si>
    <t xml:space="preserve">Pitaya, fruit du dragon </t>
  </si>
  <si>
    <t xml:space="preserve">Pitaya
Fruit du dragon </t>
  </si>
  <si>
    <t xml:space="preserve">Plante cactacée grimpante originaire d’Amérique centrale, introduite en Asie du Sud-Est (Vietnam, Thaïlande) puis dans l’océan Indien.
À Madagascar, la culture est encore marginale mais en développement dans certaines zones de production horticole (Analamanga, Vakinankaratra, Itasy, côte Est).
</t>
  </si>
  <si>
    <t>Pérenne (production sur 15–20 ans avec bon entretien)</t>
  </si>
  <si>
    <t>0 – 1200 m (idéalement zones côtières et basses altitudes de Madagascar)</t>
  </si>
  <si>
    <t>Sols sableux, bien drainés, légèrement acides à neutres (pH 6–7)</t>
  </si>
  <si>
    <t>18 – 32°C (optimum 25–30°C)</t>
  </si>
  <si>
    <t>800 – 1500 mm/an, mais craint l’excès d’eau (nécessite irrigation contrôlée en saison sèche et drainage en saison humide)</t>
  </si>
  <si>
    <t>Tropical et subtropical, supporte bien la sécheresse mais sensible au froid (gel mortel en dessous de 5°C).</t>
  </si>
  <si>
    <t>Fin de saison des pluies (mars – avril)</t>
  </si>
  <si>
    <t>1 100 – 1 600 plants/ha (espacement 3 x 3 m ou 2,5 x 3 m)</t>
  </si>
  <si>
    <t>Première récolte après 12–18 mois, puis récolte continue plusieurs fois/an (jusqu’à 5–6 floraisons annuelles en climat chaud)</t>
  </si>
  <si>
    <t>Le pitaya n’est pas semé par graines pour la production commerciale (les graines sont uniquement utilisées en laboratoire ou pépinières spécialisées).
 Matériel de plantation utilisé : Boutures de tiges de 25–50 cm
1 100 – 1 600 plants/ha (espacement 3 x 3 m ou 2,5 x 3 m)</t>
  </si>
  <si>
    <t xml:space="preserve"> • Désherbage régulier
 • Taille annuelle pour stimuler la floraison
 • Irrigation goutte-à-goutte en saison sèche
 • Apport de matière organique au pied
</t>
  </si>
  <si>
    <t xml:space="preserve">• Préparation : Bêcher et labourer, installer des tuteurs solides (béton, bois dur, poteaux métalliques) de 1,5 à 2 m de hauteur
</t>
  </si>
  <si>
    <t>10 – 15 t/ha de fumier bien décomposé/an</t>
  </si>
  <si>
    <t xml:space="preserve"> • Dolomie : 300 kg/ha si pH &lt; 5,5
 • NPK : 200 – 250 kg/ha (au repiquage et en couverture)
 • Urée : 100 – 120 kg/ha fractionnée en 2 à 3 apports
</t>
  </si>
  <si>
    <t xml:space="preserve"> • NPK en petites doses fractionnées (100–150 g/plant/an en début de production, jusqu’à 500 g/plant/an en plein rendement)
 • Dolomie : 200–400 kg/ha/an selon acidité du sol
</t>
  </si>
  <si>
    <t xml:space="preserve"> • Pourriture des tiges et anthracnose (champignons) → éviter excès d’humidité, fongicides bio (bouillie bordelaise)
 • Bactériose (taches noires aqueuses) → sélection de boutures saines, rotation
</t>
  </si>
  <si>
    <t xml:space="preserve"> • Cochenilles farineuses (déformation des tiges) → lutte par savon noir, huiles blanches
 • Fourmis (favorisent les cochenilles) → barrières collantes, appâts
</t>
  </si>
  <si>
    <t xml:space="preserve">Le pitaya n’est pas semé par graines pour la production commerciale (les graines sont uniquement utilisées en laboratoire ou pépinières spécialisées).
Période de récolte : Plusieurs fois par an (jusqu’à 6 cycles)
 • Prix de vente (Madagascar) : 8 000 – 15 000 Ar/kg en marché urbain (plus élevé en hors-saison et pour les variétés rouges/jaunes)
</t>
  </si>
  <si>
    <t>Cucurbita maxima</t>
  </si>
  <si>
    <t>Variétés locales malagasy sélectionnées (fruit rond, ovale, côtelé, ou allongé). 
Variétés améliorées introduites existent mais peu répandues.</t>
  </si>
  <si>
    <t xml:space="preserve">
 Citrouille
Voatavo</t>
  </si>
  <si>
    <t>Plante potagère rampante ou grimpante, originaire d’Amérique centrale et introduite à Madagascar par les colons et commerçants au XIXe siècle. Elle est aujourd’hui largement cultivée en milieu rural et périurbain, souvent en cultures associées ou en bordure de champs. La citrouille est utilisée pour l’alimentation humaine (pulpe, graines) et parfois comme aliment pour animaux. Elle joue aussi un rôle dans la sécurité alimentaire grâce à sa conservation prolongée après récolte.</t>
  </si>
  <si>
    <t>Adaptée de 0 à 1 800 m, meilleure productivité entre 0 et 1 200 m</t>
  </si>
  <si>
    <t>Sol meuble, profond, riche en matière organique, bien drainé. Tolère sols sableux ou limoneux, mais préfère sols fertiles (argilo-limoneux). pH idéal 6 – 7,5.</t>
  </si>
  <si>
    <t>Optimal entre 20 et 28 °C. Sensible aux températures &lt; 15 °C et &gt; 35 °C qui perturbent la floraison et la fructification.</t>
  </si>
  <si>
    <t>600 – 1 200 mm par cycle. La culture exige une humidité régulière sans excès d’eau. La sécheresse réduit la taille des fruits, l’excès d’humidité favorise les maladies cryptogamiques.</t>
  </si>
  <si>
    <t>Tropical et subtropical avec saison humide pour la croissance végétative et saison sèche pour la maturation des fruits.</t>
  </si>
  <si>
    <t>Début de saison des pluies (octobre – décembre) pour culture pluviale. Possibilité de culture irriguée toute l’année.</t>
  </si>
  <si>
    <t>2 m × 2 m ou 3 m × 2 m (environ 2 500 à 4 000 plants/ha)</t>
  </si>
  <si>
    <t xml:space="preserve">Semis direct en poquets de 2 à 3 graines, puis éclaircissage à 1 plant/poquet.
 • Quantité de semence minimale : 2 kg/ha.
 • Quantité de semence maximale : 4 kg/ha.
</t>
  </si>
  <si>
    <t>Fruits récoltés à maturité physiologique (peau dure, pédoncule sec). Récoltes échelonnées selon les variétés, 2 à 4 mois après semis.</t>
  </si>
  <si>
    <t>Labour profond (20 – 30 cm), affinage de la terre, apport de fumure organique bien décomposée avant semis.</t>
  </si>
  <si>
    <t xml:space="preserve">• Sarclages réguliers.
 • Binages pour ameublir le sol.
 • Paillage conseillé pour limiter évaporation et adventices.
 • Tuteurage ou orientation des tiges en cultures intensives.
 • Éclaircissage des jeunes plants.
</t>
  </si>
  <si>
    <t>Apport de fumier bien décomposé, 15 à 20 t/ha, enfoui avant semis. Compost possible en remplacement.</t>
  </si>
  <si>
    <t xml:space="preserve"> • Dolomie : 200 – 400 kg/ha si sol acide.
 • NPK : 250 – 300 kg/ha en 2 apports (au semis et en cours de végétation).
 • Urée : 50 – 80 kg/ha en complément, fractionné.
</t>
  </si>
  <si>
    <t xml:space="preserve">• Oïdium : taches blanchâtres poudreuses sur feuilles. → Soufre, prévention par aération.
 • Mildiou : taches huileuses jaunâtres, nécroses. → Traitements cuivreux.
 • Anthracnose : nécroses noires sur fruits et feuilles. → Rotation, semences saines, fongicides adaptés.
 • Virus mosaïque de la courge : déformation et marbrures des feuilles. → Lutte contre pucerons, variétés tolérantes.
</t>
  </si>
  <si>
    <t xml:space="preserve">• Mouches des fruits (Dacus cucurbitae) : piqûres, fruits véreux. → Piégeage, rotation, traitements bio (extraits de neem).
 • Pucerons : jaunissement, feuilles recroquevillées, vecteurs de virus. → Savon noir, décoction d’ail, lutte biologique.
 • Araignées rouges : feuilles décolorées, dessèchement. → Pulvérisations soufrées.
</t>
  </si>
  <si>
    <t>Le voatavo est une culture très présente dans toutes les régions, surtout sur les Hautes Terres, à l’Ouest et au Nord-Ouest. Souvent cultivé en association traditionnelle avec le maïs et le haricot, il contribue à l’équilibre alimentaire (vitamines, bêta-carotène, fibres) et à la sécurité économique des ménages grâce à sa bonne conservation post-récolte (plusieurs mois).</t>
  </si>
  <si>
    <t>Géranium Bourbon</t>
  </si>
  <si>
    <t>Géranium</t>
  </si>
  <si>
    <t xml:space="preserve">• NPK à 50-100 kg/ha à la levée
 • Apport complémentaire de phosphate ou dolomie si le sol est acide
</t>
  </si>
  <si>
    <t xml:space="preserve">– NPK: 50-100 kg/ha au semis
– Dolomie : 100 à 200 kg/ha en sol acide
– L’urée est rarement nécessaire (le pois chiche fixe l’azote)
</t>
  </si>
  <si>
    <t xml:space="preserve">• NPK à raison de 50 kg/ha
 • Dolomie ou cendre de bois pour corriger les sols trop acides
</t>
  </si>
  <si>
    <t xml:space="preserve">Dolomie : 250-400 kg/ha tous les 2-3 ans pour corriger l’acidité
NPK: 200 kg/ha/an en 2 à 3 apports
Urée : 75-100 kg/ha selon carences visibles
</t>
  </si>
  <si>
    <t xml:space="preserve">— NPK:  75-100 kg/ha au semis
— Dolomie : 100 kg/ha si le sol est acide
— Apport en phosphore important pour la nodulation
</t>
  </si>
  <si>
    <t xml:space="preserve">En cas de besoin :
— Dolomie : 50-100 kg/ha si sol acide
— NPK:50 kg/ha
— Urée : 50 kg/ha en couverture au tallage
</t>
  </si>
  <si>
    <t xml:space="preserve">Dolomie :100 kg/ha si le sol est acide
La lentille fixe l’azote, donc peu ou pas d’azote supplémentaire est requis.
</t>
  </si>
  <si>
    <t xml:space="preserve">– NPK : 100 à 150 kg/ha au semis
– Urée : 40 kg/ha en couverture (1 mois après semis)
– Dolomie : 100 kg/ha si pH &lt; 6
</t>
  </si>
  <si>
    <t>Dolomie : 100 kg/ha si pH acide
NPK 50 à 80 kg/ha à la plantation</t>
  </si>
  <si>
    <t xml:space="preserve">• Dolomie : 100 kg/ha en sol acide
 • NPK si carences : 50-100 kg/ha
</t>
  </si>
  <si>
    <t xml:space="preserve">Dolomie : 300 kg/ha tous les 2 ans pour corriger l’acidité
NPK : 100 à 200 kg/ha/an en deux apports
Urée : 50 kg/ha si carence en azote
</t>
  </si>
  <si>
    <t xml:space="preserve">Dolomie : 300 kg/ha tous les 2 ans pour corriger l’acidité
NPK : 100 à 200 kgkg/ha/an en deux apports
Urée : 50 kg/ha si carence en azote
</t>
  </si>
  <si>
    <t xml:space="preserve">Hypothèses pour l’atteinte du rendement maximal : 3,5t/ha
*Semis à date optimale (oct.–nov.), densité 50×15 cm ; graines saines traitées ; inoculation + gypse 250 kg/ha à nouaison ; sarclages 2–3 fois ; récolte à maturité physiologique ; séchage ≤9 %.
 *Performance agronomique — Sol sablo-limoneux; 5–10 t/ha fumier ; eau régulière aux stades clés.
 *Semences certifiées disponibles ; 
Proposition d’association culturale :
 • Maïs + Arachide en intercalé (maïs 75 cm, arachide 50 cm intercalé).
 • Manioc + Arachide : manioc large espacement, arachide en culture intercalaire la première saison.
 • Arachide en rotation avec riz pluvial sur Hautes Terres pour casser cycle maladies et enrichir sol en azote.
</t>
  </si>
  <si>
    <t xml:space="preserve">Hypothèse pour l’atteinte du rendement maximal : 3t/ha
*semis nov.–déc. à bonne humidité ; densité 45×10 cm ; semence calibrée traitée ; 2–3 sarclages précoces ; récolte à 70–80 % gousses mûres ; séchage rapide ≤9 %.
 * Performance agronomique — sol sablo‑limoneux, eau bien répartie aux stades critiques (pluie/irrigation).
* accès semences de qualité, petits équipements (bineuse, bâche de séchage), 
Proposition d’association culturale:
 • Maïs + Arachide (1:1 rangs) : maïs 75 cm, arachide 45–60 cm intercalé ; bénéfices : couverture du sol, azote biologique, double revenu.
 • Manioc en bordures + Arachide en plein : manioc 1,5 × 1,5 m, arachide entre‑lignes la 1re saison.
 • Sésame + Arachide en sols très sableux (décalage de 15 jours au semis pour limiter concurrence).
</t>
  </si>
  <si>
    <t xml:space="preserve">Hypothèse pour l’atteinte du rendement maximal : 20t/ha: 
 • Climat chaud et humide avec température moyenne de 22 – 28 °C.
 • Sol profond, riche en humus, bien drainé, pH 6 – 7,5.
 • Irrigation régulière en cas de déficit pluviométrique.
 • Apports organiques conséquents (≥ 20 t/ha).
 • Fertilisation équilibrée NPK avec apports fractionnés.
 • Lutte préventive intégrée contre ravageurs et maladies.
 • Rotation culturale (éviter les cucurbitacées successives).
Proposition d’association culturale adaptée à Madagascar
 • Association avec maïs : le maïs sert de tuteur naturel et réduit la propagation de certaines maladies.
 • Association avec légumineuses (haricot, niébé, pois d’angole) : fixation de l’azote et meilleure couverture du sol.
 • Association avec manioc ou patate douce : optimisation de l’espace et diversification alimentaire.
</t>
  </si>
  <si>
    <t xml:space="preserve">Hypothèse pour l’atteinte du rendement maximal : 25t/ha: 
*Utilisation de boutures vigoureuses, tuteurs solides, irrigation goutte-à-goutte, pollinisation manuelle si nécessaire.
*Performance agronomique : Fertilisation organique + minérale équilibrée, taille régulière, gestion sanitaire stricte.
 • Compatible avec : cultures basses (arachide, patate douce, haricot nain) entre les rangées avant que les cactées couvrent le sol.
 • Déconseillé avec : cultures très grimpantes ou concurrentielles (maïs, igname).
</t>
  </si>
  <si>
    <t xml:space="preserve">Hypothèse pour l’atteinte du rendement maximal : 16t/ha: 
*Utilisation de semences sélectionnées, irrigation régulière, fertilisation équilibrée (fumier + NPK), lutte intégrée.
 *Performance agronomique : Bonne adaptation variétale aux Hautes Terres, conduite culturale en saison des pluies complétée par irrigation en saison sèche.
*Accès aux intrants de qualité (semences, engrais), disponibilité de main-d’œuvre pour sarclage et récolte.
Associations culturales possibles
 • Idéal : Angivy + haricot (fixation d’azote, réduction pression ravageurs)
 • Possible avec maïs ou piment en cultures associées sur billons.
</t>
  </si>
  <si>
    <t>numero</t>
  </si>
  <si>
    <t>Maintenance_et_entretiens_culturaux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</si>
</sst>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 _€_-;\-* #,##0.00\ _€_-;_-* &quot;-&quot;??\ _€_-;_-@_-"/>
    <numFmt numFmtId="164" formatCode="#,##0.00\ &quot;€&quot;"/>
    <numFmt numFmtId="165" formatCode="_-* #,##0.00_-;\-* #,##0.00_-;_-* &quot;-&quot;??_-;_-@_-"/>
    <numFmt numFmtId="166" formatCode="_-* #,##0\ _€_-;\-* #,##0\ _€_-;_-* &quot;-&quot;??\ _€_-;_-@_-"/>
  </numFmts>
  <fonts count="34">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2"/>
      <color rgb="FFFF0000"/>
      <name val="Arial"/>
      <family val="2"/>
    </font>
    <font>
      <sz val="10"/>
      <name val="Arial"/>
      <family val="2"/>
    </font>
    <font>
      <sz val="12"/>
      <color theme="1"/>
      <name val="Calibri"/>
      <family val="2"/>
    </font>
    <font>
      <sz val="12"/>
      <color rgb="FF000000"/>
      <name val="Calibri"/>
      <family val="2"/>
    </font>
    <font>
      <b/>
      <sz val="12"/>
      <color rgb="FF000000"/>
      <name val="Calibri"/>
      <family val="2"/>
    </font>
    <font>
      <b/>
      <sz val="12"/>
      <color theme="1"/>
      <name val="Calibri"/>
      <family val="2"/>
    </font>
    <font>
      <b/>
      <sz val="12"/>
      <color rgb="FFFF0000"/>
      <name val="Calibri"/>
      <family val="2"/>
    </font>
    <font>
      <sz val="12"/>
      <color rgb="FFFF0000"/>
      <name val="Calibri"/>
      <family val="2"/>
    </font>
    <font>
      <sz val="12"/>
      <name val="Calibri"/>
      <family val="2"/>
    </font>
    <font>
      <b/>
      <sz val="12"/>
      <name val="Calibri"/>
      <family val="2"/>
    </font>
    <font>
      <b/>
      <sz val="12"/>
      <color rgb="FF7030A0"/>
      <name val="Calibri"/>
      <family val="2"/>
    </font>
    <font>
      <sz val="12"/>
      <color theme="9" tint="-0.249977111117893"/>
      <name val="Calibri"/>
      <family val="2"/>
    </font>
    <font>
      <sz val="12"/>
      <color rgb="FF00B050"/>
      <name val="Calibri"/>
      <family val="2"/>
    </font>
    <font>
      <sz val="12"/>
      <color theme="9"/>
      <name val="Calibri"/>
      <family val="2"/>
    </font>
    <font>
      <b/>
      <sz val="12"/>
      <color theme="9" tint="-0.249977111117893"/>
      <name val="Calibri"/>
      <family val="2"/>
    </font>
    <font>
      <sz val="12"/>
      <color rgb="FF7030A0"/>
      <name val="Calibri"/>
      <family val="2"/>
    </font>
    <font>
      <vertAlign val="superscript"/>
      <sz val="12"/>
      <color theme="1"/>
      <name val="Calibri"/>
      <family val="2"/>
    </font>
    <font>
      <sz val="9"/>
      <color indexed="81"/>
      <name val="Tahoma"/>
      <family val="2"/>
    </font>
    <font>
      <b/>
      <sz val="9"/>
      <color indexed="81"/>
      <name val="Tahoma"/>
      <family val="2"/>
    </font>
    <font>
      <b/>
      <sz val="12"/>
      <color theme="1"/>
      <name val="Aptos Narrow"/>
      <scheme val="minor"/>
    </font>
    <font>
      <b/>
      <sz val="12"/>
      <color rgb="FF7030A0"/>
      <name val="Aptos Narrow"/>
      <scheme val="minor"/>
    </font>
    <font>
      <u/>
      <sz val="12"/>
      <color rgb="FF000000"/>
      <name val="Calibri"/>
      <family val="2"/>
    </font>
    <font>
      <u/>
      <sz val="12"/>
      <color rgb="FFFF0000"/>
      <name val="Calibri"/>
      <family val="2"/>
    </font>
    <font>
      <sz val="11"/>
      <color rgb="FFFF0000"/>
      <name val="Calibri"/>
      <family val="2"/>
    </font>
    <font>
      <b/>
      <sz val="12"/>
      <color rgb="FFFF0000"/>
      <name val="Aptos Narrow"/>
      <scheme val="minor"/>
    </font>
    <font>
      <sz val="12"/>
      <color rgb="FFFF0000"/>
      <name val="Aptos Narrow"/>
      <family val="2"/>
      <scheme val="minor"/>
    </font>
    <font>
      <sz val="12"/>
      <color rgb="FFFF0000"/>
      <name val="Aptos Narrow"/>
      <scheme val="minor"/>
    </font>
    <font>
      <b/>
      <u/>
      <sz val="12"/>
      <color rgb="FFFF0000"/>
      <name val="Calibri"/>
      <family val="2"/>
    </font>
    <font>
      <b/>
      <sz val="12"/>
      <color theme="1"/>
      <name val="Aptos Narrow"/>
      <charset val="134"/>
      <scheme val="minor"/>
    </font>
    <font>
      <b/>
      <sz val="12"/>
      <color rgb="FF7030A0"/>
      <name val="Aptos Narrow"/>
      <charset val="134"/>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165" fontId="2" fillId="0" borderId="0" applyFont="0" applyFill="0" applyBorder="0" applyAlignment="0" applyProtection="0"/>
    <xf numFmtId="0" fontId="5" fillId="0" borderId="0"/>
    <xf numFmtId="43" fontId="5" fillId="0" borderId="0" applyFont="0" applyFill="0" applyBorder="0" applyAlignment="0" applyProtection="0"/>
    <xf numFmtId="0" fontId="5" fillId="0" borderId="0" applyNumberFormat="0" applyFill="0" applyBorder="0" applyAlignment="0" applyProtection="0"/>
    <xf numFmtId="0" fontId="5" fillId="0" borderId="0"/>
    <xf numFmtId="43" fontId="5" fillId="0" borderId="0" applyFont="0" applyFill="0" applyBorder="0" applyAlignment="0" applyProtection="0"/>
  </cellStyleXfs>
  <cellXfs count="120">
    <xf numFmtId="0" fontId="0" fillId="0" borderId="0" xfId="0"/>
    <xf numFmtId="43" fontId="9" fillId="0" borderId="1" xfId="1" applyFont="1" applyFill="1" applyBorder="1" applyAlignment="1">
      <alignment horizontal="center" vertical="center" wrapText="1"/>
    </xf>
    <xf numFmtId="0" fontId="6" fillId="0" borderId="1" xfId="1" applyNumberFormat="1" applyFont="1" applyFill="1" applyBorder="1" applyAlignment="1">
      <alignment horizontal="center" vertical="center" wrapText="1"/>
    </xf>
    <xf numFmtId="0" fontId="11" fillId="0" borderId="1" xfId="1" applyNumberFormat="1" applyFont="1" applyFill="1" applyBorder="1" applyAlignment="1">
      <alignment horizontal="center" vertical="center" wrapText="1"/>
    </xf>
    <xf numFmtId="0" fontId="12" fillId="0" borderId="1" xfId="1" applyNumberFormat="1" applyFont="1" applyFill="1" applyBorder="1" applyAlignment="1">
      <alignment horizontal="center" vertical="center" wrapText="1"/>
    </xf>
    <xf numFmtId="166" fontId="9" fillId="0" borderId="1" xfId="1" applyNumberFormat="1" applyFont="1" applyFill="1" applyBorder="1" applyAlignment="1">
      <alignment horizontal="center" vertical="center" wrapText="1"/>
    </xf>
    <xf numFmtId="166" fontId="13" fillId="0" borderId="1" xfId="1" applyNumberFormat="1" applyFont="1" applyFill="1" applyBorder="1" applyAlignment="1">
      <alignment horizontal="center" vertical="center" wrapText="1"/>
    </xf>
    <xf numFmtId="43" fontId="11" fillId="0" borderId="1" xfId="1" applyFont="1" applyFill="1" applyBorder="1" applyAlignment="1">
      <alignment horizontal="center" vertical="center" wrapText="1"/>
    </xf>
    <xf numFmtId="166" fontId="10" fillId="0" borderId="1" xfId="1" applyNumberFormat="1" applyFont="1" applyFill="1" applyBorder="1" applyAlignment="1">
      <alignment horizontal="center" vertical="center" wrapText="1"/>
    </xf>
    <xf numFmtId="0" fontId="7" fillId="0" borderId="1" xfId="1" applyNumberFormat="1" applyFont="1" applyFill="1" applyBorder="1" applyAlignment="1">
      <alignment horizontal="center" vertical="center" wrapText="1"/>
    </xf>
    <xf numFmtId="0" fontId="16" fillId="0" borderId="1" xfId="1" applyNumberFormat="1" applyFont="1" applyFill="1" applyBorder="1" applyAlignment="1">
      <alignment horizontal="center" vertical="center" wrapText="1"/>
    </xf>
    <xf numFmtId="0" fontId="17" fillId="0" borderId="1" xfId="1" applyNumberFormat="1" applyFont="1" applyFill="1" applyBorder="1" applyAlignment="1">
      <alignment horizontal="center" vertical="center" wrapText="1"/>
    </xf>
    <xf numFmtId="0" fontId="15" fillId="0"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43" fontId="6" fillId="0" borderId="1" xfId="1" applyFont="1" applyFill="1" applyBorder="1" applyAlignment="1">
      <alignment horizontal="center" vertical="center" wrapText="1"/>
    </xf>
    <xf numFmtId="0" fontId="6" fillId="0" borderId="0" xfId="0" applyFont="1" applyFill="1" applyAlignment="1">
      <alignment horizontal="center" vertical="center" wrapText="1"/>
    </xf>
    <xf numFmtId="0" fontId="10" fillId="0" borderId="1" xfId="0" applyFont="1" applyFill="1" applyBorder="1" applyAlignment="1">
      <alignment horizontal="center" vertical="center" wrapText="1"/>
    </xf>
    <xf numFmtId="3" fontId="11" fillId="0" borderId="1" xfId="0" applyNumberFormat="1" applyFont="1" applyFill="1" applyBorder="1" applyAlignment="1">
      <alignment horizontal="center" vertical="center" wrapText="1"/>
    </xf>
    <xf numFmtId="1" fontId="11" fillId="0" borderId="1" xfId="0" applyNumberFormat="1" applyFont="1" applyFill="1" applyBorder="1" applyAlignment="1">
      <alignment horizontal="center" vertical="center" wrapText="1"/>
    </xf>
    <xf numFmtId="1" fontId="11" fillId="0" borderId="1" xfId="1"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6" fillId="0" borderId="0" xfId="0" applyFont="1" applyFill="1" applyAlignment="1">
      <alignment horizontal="center" vertical="center"/>
    </xf>
    <xf numFmtId="43" fontId="7" fillId="0" borderId="1" xfId="1" applyFont="1" applyFill="1" applyBorder="1" applyAlignment="1" applyProtection="1">
      <alignment horizontal="center" vertical="center" wrapText="1"/>
    </xf>
    <xf numFmtId="0" fontId="7" fillId="0" borderId="0" xfId="0" applyFont="1" applyFill="1" applyAlignment="1">
      <alignment vertical="center"/>
    </xf>
    <xf numFmtId="43" fontId="11" fillId="0" borderId="1" xfId="1" applyFont="1" applyFill="1" applyBorder="1" applyAlignment="1" applyProtection="1">
      <alignment horizontal="center" vertical="center" wrapText="1"/>
    </xf>
    <xf numFmtId="0" fontId="11" fillId="0" borderId="0" xfId="0" applyFont="1" applyFill="1" applyAlignment="1">
      <alignment vertical="center"/>
    </xf>
    <xf numFmtId="0" fontId="11" fillId="0" borderId="1" xfId="1" applyNumberFormat="1" applyFont="1" applyFill="1" applyBorder="1" applyAlignment="1" applyProtection="1">
      <alignment horizontal="center" vertical="center" wrapText="1"/>
    </xf>
    <xf numFmtId="164" fontId="6" fillId="0" borderId="1" xfId="0" applyNumberFormat="1" applyFont="1" applyFill="1" applyBorder="1" applyAlignment="1">
      <alignment horizontal="center" vertical="center" wrapText="1"/>
    </xf>
    <xf numFmtId="0" fontId="8" fillId="0" borderId="1" xfId="3" applyFont="1" applyFill="1" applyBorder="1" applyAlignment="1">
      <alignment horizontal="center" vertical="center" wrapText="1"/>
    </xf>
    <xf numFmtId="0" fontId="7" fillId="0" borderId="1" xfId="3" applyFont="1" applyFill="1" applyBorder="1" applyAlignment="1">
      <alignment horizontal="center" vertical="center" wrapText="1"/>
    </xf>
    <xf numFmtId="0" fontId="11" fillId="0" borderId="1" xfId="3" applyFont="1" applyFill="1" applyBorder="1" applyAlignment="1">
      <alignment horizontal="center" vertical="center" wrapText="1"/>
    </xf>
    <xf numFmtId="43" fontId="7" fillId="0" borderId="1" xfId="2" applyFont="1" applyFill="1" applyBorder="1" applyAlignment="1">
      <alignment horizontal="center" vertical="center" wrapText="1"/>
    </xf>
    <xf numFmtId="43" fontId="6" fillId="0" borderId="1" xfId="2" applyFont="1" applyFill="1" applyBorder="1" applyAlignment="1">
      <alignment horizontal="center" vertical="center" wrapText="1"/>
    </xf>
    <xf numFmtId="0" fontId="7" fillId="0" borderId="0" xfId="0" applyFont="1" applyFill="1" applyAlignment="1"/>
    <xf numFmtId="16" fontId="11" fillId="0" borderId="1" xfId="3" applyNumberFormat="1" applyFont="1" applyFill="1" applyBorder="1" applyAlignment="1">
      <alignment horizontal="center" vertical="center" wrapText="1"/>
    </xf>
    <xf numFmtId="43" fontId="11" fillId="0" borderId="1" xfId="2" applyFont="1" applyFill="1" applyBorder="1" applyAlignment="1">
      <alignment horizontal="center" vertical="center" wrapText="1"/>
    </xf>
    <xf numFmtId="166" fontId="11" fillId="0" borderId="1" xfId="1"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0" fontId="9" fillId="0" borderId="2" xfId="1" applyNumberFormat="1" applyFont="1" applyFill="1" applyBorder="1" applyAlignment="1">
      <alignment horizontal="center" vertical="center" wrapText="1"/>
    </xf>
    <xf numFmtId="0" fontId="6" fillId="0" borderId="3" xfId="1" applyNumberFormat="1" applyFont="1" applyFill="1" applyBorder="1" applyAlignment="1">
      <alignment horizontal="center" vertical="center" wrapText="1"/>
    </xf>
    <xf numFmtId="0" fontId="11" fillId="0" borderId="3" xfId="1" applyNumberFormat="1" applyFont="1" applyFill="1" applyBorder="1" applyAlignment="1">
      <alignment horizontal="center" vertical="center" wrapText="1"/>
    </xf>
    <xf numFmtId="0" fontId="11"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1" xfId="0" applyFont="1" applyFill="1" applyBorder="1" applyAlignment="1">
      <alignment horizontal="center" vertical="center"/>
    </xf>
    <xf numFmtId="0" fontId="6" fillId="0" borderId="0" xfId="0" applyFont="1" applyFill="1" applyAlignment="1">
      <alignment horizontal="center"/>
    </xf>
    <xf numFmtId="0" fontId="7" fillId="0" borderId="0" xfId="0" applyFont="1" applyFill="1" applyAlignment="1">
      <alignment horizontal="center" vertical="center" wrapText="1"/>
    </xf>
    <xf numFmtId="0" fontId="6" fillId="0" borderId="0" xfId="0" applyFont="1" applyFill="1" applyAlignment="1"/>
    <xf numFmtId="0" fontId="11" fillId="0" borderId="0" xfId="0" applyFont="1" applyFill="1" applyAlignment="1">
      <alignment horizontal="center" vertical="center" wrapText="1"/>
    </xf>
    <xf numFmtId="4" fontId="11"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Alignment="1">
      <alignment horizontal="center" vertical="center" wrapText="1"/>
    </xf>
    <xf numFmtId="0" fontId="29" fillId="0" borderId="3" xfId="0" applyFont="1" applyFill="1" applyBorder="1" applyAlignment="1">
      <alignment horizontal="center" vertical="center" wrapText="1"/>
    </xf>
    <xf numFmtId="0" fontId="30" fillId="0" borderId="3"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29" fillId="0" borderId="0" xfId="0" applyFont="1" applyFill="1" applyAlignment="1">
      <alignment horizontal="center" vertical="center" wrapText="1"/>
    </xf>
    <xf numFmtId="0" fontId="10" fillId="0" borderId="1" xfId="1" applyNumberFormat="1" applyFont="1" applyFill="1" applyBorder="1" applyAlignment="1">
      <alignment horizontal="center" vertical="center" wrapText="1"/>
    </xf>
    <xf numFmtId="43" fontId="10" fillId="0" borderId="1" xfId="1" applyFont="1" applyFill="1" applyBorder="1" applyAlignment="1">
      <alignment horizontal="center" vertical="center" wrapText="1"/>
    </xf>
    <xf numFmtId="0" fontId="11" fillId="0" borderId="0" xfId="0" applyFont="1" applyFill="1" applyAlignment="1"/>
    <xf numFmtId="0" fontId="11" fillId="0" borderId="0" xfId="0" applyFont="1" applyFill="1" applyBorder="1" applyAlignment="1">
      <alignment horizontal="center" vertical="center" wrapText="1"/>
    </xf>
    <xf numFmtId="0" fontId="10" fillId="0" borderId="2" xfId="1" applyNumberFormat="1" applyFont="1" applyFill="1" applyBorder="1" applyAlignment="1">
      <alignment horizontal="center" vertical="center" wrapText="1"/>
    </xf>
    <xf numFmtId="16" fontId="11" fillId="0" borderId="1" xfId="0" applyNumberFormat="1" applyFont="1" applyFill="1" applyBorder="1" applyAlignment="1">
      <alignment horizontal="center" vertical="center" wrapText="1"/>
    </xf>
    <xf numFmtId="4" fontId="9" fillId="0" borderId="1" xfId="1" applyNumberFormat="1" applyFont="1" applyFill="1" applyBorder="1" applyAlignment="1">
      <alignment horizontal="center" vertical="center" wrapText="1"/>
    </xf>
    <xf numFmtId="0" fontId="6" fillId="0" borderId="3" xfId="0" applyFont="1" applyFill="1" applyBorder="1" applyAlignment="1">
      <alignment horizontal="center" vertical="center"/>
    </xf>
    <xf numFmtId="0" fontId="32" fillId="0" borderId="1" xfId="0" applyFont="1" applyFill="1" applyBorder="1" applyAlignment="1">
      <alignment horizontal="center" vertical="center" wrapText="1"/>
    </xf>
    <xf numFmtId="166" fontId="6" fillId="0" borderId="0" xfId="1" applyNumberFormat="1" applyFont="1" applyFill="1" applyAlignment="1">
      <alignment horizontal="center" vertical="center" wrapText="1"/>
    </xf>
    <xf numFmtId="43" fontId="6" fillId="0" borderId="0" xfId="1" applyFont="1" applyFill="1" applyAlignment="1">
      <alignment horizontal="center" vertical="center" wrapText="1"/>
    </xf>
    <xf numFmtId="166" fontId="6" fillId="0" borderId="0" xfId="1" applyNumberFormat="1" applyFont="1" applyFill="1" applyAlignment="1">
      <alignment vertical="center" wrapText="1"/>
    </xf>
    <xf numFmtId="0" fontId="32" fillId="0" borderId="2" xfId="0" applyFont="1" applyFill="1" applyBorder="1" applyAlignment="1">
      <alignment horizontal="center" vertical="center" wrapText="1"/>
    </xf>
    <xf numFmtId="166" fontId="32" fillId="0" borderId="1" xfId="1" applyNumberFormat="1" applyFont="1" applyFill="1" applyBorder="1" applyAlignment="1">
      <alignment horizontal="center" vertical="center" wrapText="1"/>
    </xf>
    <xf numFmtId="43" fontId="32" fillId="0" borderId="1" xfId="1" applyFont="1" applyFill="1" applyBorder="1" applyAlignment="1">
      <alignment horizontal="center" vertical="center" wrapText="1"/>
    </xf>
    <xf numFmtId="0" fontId="32" fillId="0" borderId="3" xfId="0" applyFont="1" applyFill="1" applyBorder="1" applyAlignment="1">
      <alignment horizontal="center" vertical="center" wrapText="1"/>
    </xf>
    <xf numFmtId="0" fontId="32" fillId="0" borderId="0" xfId="0" applyFont="1" applyFill="1" applyAlignment="1">
      <alignment horizontal="center" vertical="center" wrapText="1"/>
    </xf>
    <xf numFmtId="0" fontId="23" fillId="0" borderId="2" xfId="0" applyFont="1" applyFill="1" applyBorder="1" applyAlignment="1">
      <alignment horizontal="center" vertical="center" wrapText="1"/>
    </xf>
    <xf numFmtId="166" fontId="23" fillId="0" borderId="1" xfId="1"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23" fillId="0" borderId="0" xfId="0" applyFont="1" applyFill="1" applyAlignment="1">
      <alignment horizontal="center" vertical="center" wrapText="1"/>
    </xf>
    <xf numFmtId="17" fontId="6" fillId="0"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xf>
    <xf numFmtId="0" fontId="27" fillId="0" borderId="0" xfId="0" applyFont="1" applyFill="1" applyAlignment="1">
      <alignment vertical="center" wrapText="1"/>
    </xf>
    <xf numFmtId="0" fontId="9" fillId="0" borderId="0" xfId="0" applyFont="1" applyFill="1" applyBorder="1" applyAlignment="1">
      <alignment horizontal="center" vertical="center" wrapText="1"/>
    </xf>
    <xf numFmtId="166" fontId="6" fillId="0" borderId="0" xfId="1" applyNumberFormat="1" applyFont="1" applyFill="1" applyBorder="1" applyAlignment="1">
      <alignment horizontal="center" vertical="center" wrapText="1"/>
    </xf>
    <xf numFmtId="43" fontId="6" fillId="0" borderId="0" xfId="1" applyFont="1" applyFill="1" applyBorder="1" applyAlignment="1">
      <alignment horizontal="center" vertical="center" wrapText="1"/>
    </xf>
    <xf numFmtId="166" fontId="6" fillId="0" borderId="0" xfId="1" applyNumberFormat="1" applyFont="1" applyFill="1" applyBorder="1" applyAlignment="1">
      <alignment vertical="center" wrapText="1"/>
    </xf>
    <xf numFmtId="0" fontId="9" fillId="0" borderId="1" xfId="1" applyNumberFormat="1" applyFont="1" applyFill="1" applyBorder="1" applyAlignment="1">
      <alignment horizontal="center" vertical="center" wrapText="1"/>
    </xf>
    <xf numFmtId="4" fontId="10" fillId="0" borderId="1" xfId="1" applyNumberFormat="1" applyFont="1" applyFill="1" applyBorder="1" applyAlignment="1">
      <alignment horizontal="center" vertical="center" wrapText="1"/>
    </xf>
    <xf numFmtId="43" fontId="10" fillId="0" borderId="1" xfId="1" applyNumberFormat="1" applyFont="1" applyFill="1" applyBorder="1" applyAlignment="1">
      <alignment horizontal="center" vertical="center" wrapText="1"/>
    </xf>
    <xf numFmtId="2" fontId="33" fillId="0" borderId="1" xfId="1" applyNumberFormat="1" applyFont="1" applyFill="1" applyBorder="1" applyAlignment="1">
      <alignment horizontal="center" vertical="center" wrapText="1"/>
    </xf>
    <xf numFmtId="2" fontId="24" fillId="0" borderId="1" xfId="1" applyNumberFormat="1" applyFont="1" applyFill="1" applyBorder="1" applyAlignment="1">
      <alignment horizontal="center" vertical="center" wrapText="1"/>
    </xf>
    <xf numFmtId="2" fontId="14" fillId="0" borderId="1" xfId="1" applyNumberFormat="1" applyFont="1" applyFill="1" applyBorder="1" applyAlignment="1">
      <alignment horizontal="center" vertical="center" wrapText="1"/>
    </xf>
    <xf numFmtId="2" fontId="19" fillId="0" borderId="1" xfId="1" applyNumberFormat="1" applyFont="1" applyFill="1" applyBorder="1" applyAlignment="1">
      <alignment horizontal="center" vertical="center" wrapText="1"/>
    </xf>
    <xf numFmtId="2" fontId="6" fillId="0" borderId="1" xfId="1" applyNumberFormat="1" applyFont="1" applyFill="1" applyBorder="1" applyAlignment="1">
      <alignment horizontal="center" vertical="center" wrapText="1"/>
    </xf>
    <xf numFmtId="2" fontId="10" fillId="0" borderId="1" xfId="1" applyNumberFormat="1" applyFont="1" applyFill="1" applyBorder="1" applyAlignment="1">
      <alignment horizontal="center" vertical="center" wrapText="1"/>
    </xf>
    <xf numFmtId="2" fontId="6" fillId="0" borderId="1" xfId="0" applyNumberFormat="1" applyFont="1" applyFill="1" applyBorder="1" applyAlignment="1">
      <alignment horizontal="center" vertical="center" wrapText="1"/>
    </xf>
    <xf numFmtId="2" fontId="7" fillId="0" borderId="1" xfId="0" applyNumberFormat="1" applyFont="1" applyFill="1" applyBorder="1" applyAlignment="1">
      <alignment horizontal="center" vertical="center" wrapText="1"/>
    </xf>
    <xf numFmtId="2" fontId="11" fillId="0" borderId="1" xfId="0" applyNumberFormat="1" applyFont="1" applyFill="1" applyBorder="1" applyAlignment="1">
      <alignment horizontal="center" vertical="center" wrapText="1"/>
    </xf>
    <xf numFmtId="2" fontId="11" fillId="0" borderId="1" xfId="1" applyNumberFormat="1" applyFont="1" applyFill="1" applyBorder="1" applyAlignment="1">
      <alignment horizontal="center" vertical="center" wrapText="1"/>
    </xf>
    <xf numFmtId="2" fontId="0" fillId="0" borderId="1" xfId="0" applyNumberFormat="1" applyFill="1" applyBorder="1" applyAlignment="1">
      <alignment horizontal="center" vertical="center" wrapText="1"/>
    </xf>
    <xf numFmtId="2" fontId="19" fillId="0" borderId="0" xfId="1" applyNumberFormat="1" applyFont="1" applyFill="1" applyBorder="1" applyAlignment="1">
      <alignment horizontal="center" vertical="center" wrapText="1"/>
    </xf>
    <xf numFmtId="2" fontId="19" fillId="0" borderId="0" xfId="1" applyNumberFormat="1" applyFont="1" applyFill="1" applyAlignment="1">
      <alignment horizontal="center" vertical="center" wrapText="1"/>
    </xf>
    <xf numFmtId="0" fontId="9" fillId="0" borderId="1" xfId="1" applyNumberFormat="1" applyFont="1" applyFill="1" applyBorder="1" applyAlignment="1">
      <alignment horizontal="center" vertical="center" wrapText="1"/>
    </xf>
    <xf numFmtId="43" fontId="9" fillId="0" borderId="7" xfId="1" applyFont="1" applyFill="1" applyBorder="1" applyAlignment="1">
      <alignment horizontal="center" vertical="center" textRotation="255" wrapText="1"/>
    </xf>
    <xf numFmtId="43" fontId="9" fillId="0" borderId="8" xfId="1" applyFont="1" applyFill="1" applyBorder="1" applyAlignment="1">
      <alignment horizontal="center" vertical="center" textRotation="255" wrapText="1"/>
    </xf>
    <xf numFmtId="43" fontId="9" fillId="0" borderId="9" xfId="1" applyFont="1" applyFill="1" applyBorder="1" applyAlignment="1">
      <alignment horizontal="center" vertical="center" textRotation="255" wrapText="1"/>
    </xf>
    <xf numFmtId="166" fontId="9" fillId="0" borderId="1" xfId="1" applyNumberFormat="1" applyFont="1" applyFill="1" applyBorder="1" applyAlignment="1">
      <alignment horizontal="center" vertical="center" textRotation="255" wrapText="1"/>
    </xf>
    <xf numFmtId="0" fontId="9" fillId="0" borderId="4" xfId="1" applyNumberFormat="1" applyFont="1" applyFill="1" applyBorder="1" applyAlignment="1">
      <alignment horizontal="center" vertical="center" wrapText="1"/>
    </xf>
    <xf numFmtId="0" fontId="9" fillId="0" borderId="5" xfId="1" applyNumberFormat="1" applyFont="1" applyFill="1" applyBorder="1" applyAlignment="1">
      <alignment horizontal="center" vertical="center" wrapText="1"/>
    </xf>
    <xf numFmtId="0" fontId="9" fillId="0" borderId="6" xfId="1" applyNumberFormat="1" applyFont="1" applyFill="1" applyBorder="1" applyAlignment="1">
      <alignment horizontal="center" vertical="center" wrapText="1"/>
    </xf>
    <xf numFmtId="0" fontId="10" fillId="0" borderId="4" xfId="1" applyNumberFormat="1" applyFont="1" applyFill="1" applyBorder="1" applyAlignment="1">
      <alignment horizontal="center" vertical="center" wrapText="1"/>
    </xf>
    <xf numFmtId="0" fontId="10" fillId="0" borderId="5" xfId="1" applyNumberFormat="1" applyFont="1" applyFill="1" applyBorder="1" applyAlignment="1">
      <alignment horizontal="center" vertical="center" wrapText="1"/>
    </xf>
    <xf numFmtId="0" fontId="10" fillId="0" borderId="6" xfId="1" applyNumberFormat="1" applyFont="1" applyFill="1" applyBorder="1" applyAlignment="1">
      <alignment horizontal="center" vertical="center" wrapText="1"/>
    </xf>
    <xf numFmtId="0" fontId="9" fillId="0" borderId="1" xfId="1" applyNumberFormat="1" applyFont="1" applyFill="1" applyBorder="1" applyAlignment="1">
      <alignment horizontal="center" vertical="center" textRotation="255" wrapText="1"/>
    </xf>
  </cellXfs>
  <cellStyles count="10">
    <cellStyle name="Milliers" xfId="1" builtinId="3"/>
    <cellStyle name="Milliers 2" xfId="2"/>
    <cellStyle name="Milliers 2 2" xfId="9"/>
    <cellStyle name="Milliers 3" xfId="4"/>
    <cellStyle name="Milliers 4" xfId="6"/>
    <cellStyle name="Normal" xfId="0" builtinId="0"/>
    <cellStyle name="Normal 2" xfId="3"/>
    <cellStyle name="Normal 2 2" xfId="8"/>
    <cellStyle name="Normal 3" xfId="5"/>
    <cellStyle name="Normal 4"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T174"/>
  <sheetViews>
    <sheetView tabSelected="1" view="pageBreakPreview" zoomScale="60" zoomScaleNormal="60" workbookViewId="0">
      <pane xSplit="4" ySplit="1" topLeftCell="X7" activePane="bottomRight" state="frozen"/>
      <selection pane="topRight" activeCell="E1" sqref="E1"/>
      <selection pane="bottomLeft" activeCell="A5" sqref="A5"/>
      <selection pane="bottomRight" activeCell="AA1" sqref="AA1"/>
    </sheetView>
  </sheetViews>
  <sheetFormatPr baseColWidth="10" defaultColWidth="11.54296875" defaultRowHeight="409.5" customHeight="1"/>
  <cols>
    <col min="1" max="1" width="11.6328125" style="24" customWidth="1"/>
    <col min="2" max="2" width="20.81640625" style="24" customWidth="1"/>
    <col min="3" max="3" width="35.1796875" style="17" customWidth="1"/>
    <col min="4" max="4" width="21.36328125" style="17" customWidth="1"/>
    <col min="5" max="5" width="26.6328125" style="17" customWidth="1"/>
    <col min="6" max="6" width="26.6328125" style="54" customWidth="1"/>
    <col min="7" max="7" width="61.6328125" style="17" customWidth="1"/>
    <col min="8" max="8" width="26.54296875" style="17" customWidth="1"/>
    <col min="9" max="9" width="38.90625" style="17" customWidth="1"/>
    <col min="10" max="10" width="56.1796875" style="17" customWidth="1"/>
    <col min="11" max="11" width="42.81640625" style="17" customWidth="1"/>
    <col min="12" max="12" width="39.90625" style="17" customWidth="1"/>
    <col min="13" max="13" width="22.90625" style="17" customWidth="1"/>
    <col min="14" max="14" width="42.36328125" style="17" customWidth="1"/>
    <col min="15" max="15" width="48.90625" style="17" customWidth="1"/>
    <col min="16" max="16" width="57.90625" style="17" customWidth="1"/>
    <col min="17" max="17" width="19" style="17" customWidth="1"/>
    <col min="18" max="18" width="21.6328125" style="17" customWidth="1"/>
    <col min="19" max="20" width="17.90625" style="17" customWidth="1"/>
    <col min="21" max="22" width="14.90625" style="17" customWidth="1"/>
    <col min="23" max="23" width="54.453125" style="17" customWidth="1"/>
    <col min="24" max="24" width="17.54296875" style="17" customWidth="1"/>
    <col min="25" max="25" width="22" style="17" customWidth="1"/>
    <col min="26" max="26" width="53.1796875" style="17" customWidth="1"/>
    <col min="27" max="27" width="44.1796875" style="17" customWidth="1"/>
    <col min="28" max="28" width="25.1796875" style="17" customWidth="1"/>
    <col min="29" max="29" width="18.08984375" style="17" customWidth="1"/>
    <col min="30" max="30" width="26.81640625" style="17" customWidth="1"/>
    <col min="31" max="33" width="18.08984375" style="17" customWidth="1"/>
    <col min="34" max="34" width="33.1796875" style="17" customWidth="1"/>
    <col min="35" max="35" width="11" style="17" customWidth="1"/>
    <col min="36" max="38" width="13.08984375" style="17" customWidth="1"/>
    <col min="39" max="39" width="15.08984375" style="17" customWidth="1"/>
    <col min="40" max="41" width="13.08984375" style="17" customWidth="1"/>
    <col min="42" max="43" width="17.6328125" style="17" customWidth="1"/>
    <col min="44" max="44" width="77.1796875" style="17" customWidth="1"/>
    <col min="45" max="45" width="53.08984375" style="17" customWidth="1"/>
    <col min="46" max="63" width="7.81640625" style="17" customWidth="1"/>
    <col min="64" max="64" width="9" style="17" customWidth="1"/>
    <col min="65" max="67" width="7.81640625" style="17" customWidth="1"/>
    <col min="68" max="68" width="9" style="17" customWidth="1"/>
    <col min="69" max="71" width="7.81640625" style="17" customWidth="1"/>
    <col min="72" max="72" width="9" style="17" customWidth="1"/>
    <col min="73" max="75" width="7.81640625" style="17" customWidth="1"/>
    <col min="76" max="76" width="9" style="17" customWidth="1"/>
    <col min="77" max="77" width="7.81640625" style="17" customWidth="1"/>
    <col min="78" max="78" width="15" style="17" customWidth="1"/>
    <col min="79" max="85" width="7.81640625" style="17" customWidth="1"/>
    <col min="86" max="86" width="12.1796875" style="17" customWidth="1"/>
    <col min="87" max="88" width="7.81640625" style="17" customWidth="1"/>
    <col min="89" max="89" width="9" style="17" customWidth="1"/>
    <col min="90" max="90" width="7.81640625" style="17" customWidth="1"/>
    <col min="91" max="91" width="13" style="72" customWidth="1"/>
    <col min="92" max="114" width="7.81640625" style="17" customWidth="1"/>
    <col min="115" max="115" width="14.1796875" style="17" customWidth="1"/>
    <col min="116" max="123" width="7.81640625" style="17" customWidth="1"/>
    <col min="124" max="124" width="15.1796875" style="72" customWidth="1"/>
    <col min="125" max="125" width="7.81640625" style="17" customWidth="1"/>
    <col min="126" max="126" width="14.6328125" style="17" customWidth="1"/>
    <col min="127" max="127" width="18.90625" style="17" customWidth="1"/>
    <col min="128" max="128" width="16.36328125" style="17" customWidth="1"/>
    <col min="129" max="131" width="7.81640625" style="17" customWidth="1"/>
    <col min="132" max="132" width="10.6328125" style="17" customWidth="1"/>
    <col min="133" max="135" width="7.81640625" style="17" customWidth="1"/>
    <col min="136" max="136" width="20.90625" style="17" customWidth="1"/>
    <col min="137" max="139" width="7.81640625" style="17" customWidth="1"/>
    <col min="140" max="140" width="19.6328125" style="73" customWidth="1"/>
    <col min="141" max="147" width="7.81640625" style="17" customWidth="1"/>
    <col min="148" max="148" width="15.1796875" style="73" customWidth="1"/>
    <col min="149" max="158" width="7.81640625" style="17" customWidth="1"/>
    <col min="159" max="164" width="9.36328125" style="17" customWidth="1"/>
    <col min="165" max="165" width="22.6328125" style="73" customWidth="1"/>
    <col min="166" max="186" width="9.36328125" style="17" customWidth="1"/>
    <col min="187" max="187" width="9.453125" style="17" customWidth="1"/>
    <col min="188" max="188" width="12" style="17" customWidth="1"/>
    <col min="189" max="189" width="10.81640625" style="25" customWidth="1"/>
    <col min="190" max="191" width="7" style="25" customWidth="1"/>
    <col min="192" max="193" width="7" style="17" customWidth="1"/>
    <col min="194" max="194" width="18.1796875" style="17" customWidth="1"/>
    <col min="195" max="196" width="21" style="72" customWidth="1"/>
    <col min="197" max="197" width="20.453125" style="107" customWidth="1"/>
    <col min="198" max="198" width="20.6328125" style="74" customWidth="1"/>
    <col min="199" max="200" width="22" style="74" customWidth="1"/>
    <col min="201" max="201" width="26.453125" style="74" customWidth="1"/>
    <col min="202" max="202" width="107.54296875" style="54" customWidth="1"/>
    <col min="203" max="203" width="92" style="17" customWidth="1"/>
    <col min="204" max="204" width="16.1796875" style="17" bestFit="1" customWidth="1"/>
    <col min="205" max="205" width="11.54296875" style="17"/>
    <col min="206" max="206" width="15.08984375" style="17" bestFit="1" customWidth="1"/>
    <col min="207" max="208" width="13.6328125" style="17" bestFit="1" customWidth="1"/>
    <col min="209" max="209" width="11.6328125" style="17" bestFit="1" customWidth="1"/>
    <col min="210" max="210" width="13.1796875" style="17" bestFit="1" customWidth="1"/>
    <col min="211" max="211" width="11.6328125" style="17" bestFit="1" customWidth="1"/>
    <col min="212" max="212" width="15.08984375" style="17" bestFit="1" customWidth="1"/>
    <col min="213" max="213" width="12.08984375" style="17" bestFit="1" customWidth="1"/>
    <col min="214" max="214" width="11.6328125" style="17" bestFit="1" customWidth="1"/>
    <col min="215" max="216" width="16.1796875" style="17" bestFit="1" customWidth="1"/>
    <col min="217" max="219" width="13.6328125" style="17" bestFit="1" customWidth="1"/>
    <col min="220" max="220" width="11.6328125" style="17" bestFit="1" customWidth="1"/>
    <col min="221" max="221" width="13.6328125" style="17" bestFit="1" customWidth="1"/>
    <col min="222" max="223" width="11.6328125" style="17" bestFit="1" customWidth="1"/>
    <col min="224" max="16384" width="11.54296875" style="17"/>
  </cols>
  <sheetData>
    <row r="1" spans="1:203" s="79" customFormat="1" ht="87" customHeight="1">
      <c r="A1" s="75" t="s">
        <v>2031</v>
      </c>
      <c r="B1" s="71" t="s">
        <v>0</v>
      </c>
      <c r="C1" s="71" t="s">
        <v>743</v>
      </c>
      <c r="D1" s="71" t="s">
        <v>744</v>
      </c>
      <c r="E1" s="71" t="s">
        <v>781</v>
      </c>
      <c r="F1" s="71" t="s">
        <v>782</v>
      </c>
      <c r="G1" s="71" t="s">
        <v>783</v>
      </c>
      <c r="H1" s="71" t="s">
        <v>785</v>
      </c>
      <c r="I1" s="71" t="s">
        <v>745</v>
      </c>
      <c r="J1" s="71" t="s">
        <v>746</v>
      </c>
      <c r="K1" s="71" t="s">
        <v>747</v>
      </c>
      <c r="L1" s="71" t="s">
        <v>784</v>
      </c>
      <c r="M1" s="71" t="s">
        <v>748</v>
      </c>
      <c r="N1" s="71" t="s">
        <v>749</v>
      </c>
      <c r="O1" s="71" t="s">
        <v>750</v>
      </c>
      <c r="P1" s="71" t="s">
        <v>751</v>
      </c>
      <c r="Q1" s="71" t="s">
        <v>752</v>
      </c>
      <c r="R1" s="71" t="s">
        <v>753</v>
      </c>
      <c r="S1" s="71" t="s">
        <v>754</v>
      </c>
      <c r="T1" s="71" t="s">
        <v>1849</v>
      </c>
      <c r="U1" s="71" t="s">
        <v>1850</v>
      </c>
      <c r="V1" s="71" t="s">
        <v>1851</v>
      </c>
      <c r="W1" s="71" t="s">
        <v>755</v>
      </c>
      <c r="X1" s="71" t="s">
        <v>756</v>
      </c>
      <c r="Y1" s="71" t="s">
        <v>757</v>
      </c>
      <c r="Z1" s="71" t="s">
        <v>758</v>
      </c>
      <c r="AA1" s="71" t="s">
        <v>2032</v>
      </c>
      <c r="AB1" s="71" t="s">
        <v>1852</v>
      </c>
      <c r="AC1" s="71" t="s">
        <v>759</v>
      </c>
      <c r="AD1" s="71" t="s">
        <v>760</v>
      </c>
      <c r="AE1" s="71" t="s">
        <v>761</v>
      </c>
      <c r="AF1" s="71" t="s">
        <v>762</v>
      </c>
      <c r="AG1" s="71" t="s">
        <v>763</v>
      </c>
      <c r="AH1" s="71" t="s">
        <v>1853</v>
      </c>
      <c r="AI1" s="71" t="s">
        <v>764</v>
      </c>
      <c r="AJ1" s="71" t="s">
        <v>765</v>
      </c>
      <c r="AK1" s="71" t="s">
        <v>1854</v>
      </c>
      <c r="AL1" s="71" t="s">
        <v>766</v>
      </c>
      <c r="AM1" s="71" t="s">
        <v>1855</v>
      </c>
      <c r="AN1" s="71" t="s">
        <v>767</v>
      </c>
      <c r="AO1" s="71" t="s">
        <v>1856</v>
      </c>
      <c r="AP1" s="71" t="s">
        <v>1857</v>
      </c>
      <c r="AQ1" s="71" t="s">
        <v>768</v>
      </c>
      <c r="AR1" s="71" t="s">
        <v>769</v>
      </c>
      <c r="AS1" s="71" t="s">
        <v>770</v>
      </c>
      <c r="AT1" s="71"/>
      <c r="AU1" s="71" t="s">
        <v>1858</v>
      </c>
      <c r="AV1" s="71" t="s">
        <v>1859</v>
      </c>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t="s">
        <v>771</v>
      </c>
      <c r="CA1" s="71"/>
      <c r="CB1" s="71"/>
      <c r="CC1" s="71"/>
      <c r="CD1" s="71"/>
      <c r="CE1" s="71"/>
      <c r="CF1" s="71"/>
      <c r="CG1" s="71"/>
      <c r="CH1" s="71"/>
      <c r="CI1" s="71"/>
      <c r="CJ1" s="71"/>
      <c r="CK1" s="71"/>
      <c r="CL1" s="71"/>
      <c r="CM1" s="76" t="s">
        <v>772</v>
      </c>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6" t="s">
        <v>773</v>
      </c>
      <c r="DU1" s="71"/>
      <c r="DV1" s="71"/>
      <c r="DW1" s="71"/>
      <c r="DX1" s="71"/>
      <c r="DY1" s="71"/>
      <c r="DZ1" s="71"/>
      <c r="EA1" s="71"/>
      <c r="EB1" s="71"/>
      <c r="EC1" s="71"/>
      <c r="ED1" s="71"/>
      <c r="EE1" s="71"/>
      <c r="EF1" s="71"/>
      <c r="EG1" s="71"/>
      <c r="EH1" s="71"/>
      <c r="EI1" s="71"/>
      <c r="EJ1" s="77"/>
      <c r="EK1" s="71"/>
      <c r="EL1" s="71"/>
      <c r="EM1" s="71"/>
      <c r="EN1" s="71"/>
      <c r="EO1" s="71"/>
      <c r="EP1" s="71"/>
      <c r="EQ1" s="77"/>
      <c r="ER1" s="71"/>
      <c r="ES1" s="71"/>
      <c r="ET1" s="71"/>
      <c r="EU1" s="71"/>
      <c r="EV1" s="71"/>
      <c r="EW1" s="71"/>
      <c r="EX1" s="71"/>
      <c r="EY1" s="71"/>
      <c r="EZ1" s="71"/>
      <c r="FA1" s="71"/>
      <c r="FB1" s="71"/>
      <c r="FC1" s="71"/>
      <c r="FD1" s="71"/>
      <c r="FE1" s="71"/>
      <c r="FF1" s="71"/>
      <c r="FG1" s="71"/>
      <c r="FH1" s="71"/>
      <c r="FI1" s="77" t="s">
        <v>774</v>
      </c>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t="s">
        <v>1862</v>
      </c>
      <c r="GM1" s="76" t="s">
        <v>1860</v>
      </c>
      <c r="GN1" s="76" t="s">
        <v>1861</v>
      </c>
      <c r="GO1" s="95" t="s">
        <v>775</v>
      </c>
      <c r="GP1" s="76" t="s">
        <v>776</v>
      </c>
      <c r="GQ1" s="76" t="s">
        <v>777</v>
      </c>
      <c r="GR1" s="76" t="s">
        <v>778</v>
      </c>
      <c r="GS1" s="76" t="s">
        <v>779</v>
      </c>
      <c r="GT1" s="71" t="s">
        <v>780</v>
      </c>
      <c r="GU1" s="78" t="s">
        <v>1</v>
      </c>
    </row>
    <row r="2" spans="1:203" s="84" customFormat="1" ht="26.25" customHeight="1">
      <c r="A2" s="80"/>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116" t="s">
        <v>1864</v>
      </c>
      <c r="AU2" s="117"/>
      <c r="AV2" s="117"/>
      <c r="AW2" s="117"/>
      <c r="AX2" s="117"/>
      <c r="AY2" s="117"/>
      <c r="AZ2" s="117"/>
      <c r="BA2" s="117"/>
      <c r="BB2" s="117"/>
      <c r="BC2" s="117"/>
      <c r="BD2" s="117"/>
      <c r="BE2" s="117"/>
      <c r="BF2" s="117"/>
      <c r="BG2" s="117"/>
      <c r="BH2" s="117"/>
      <c r="BI2" s="117"/>
      <c r="BJ2" s="117"/>
      <c r="BK2" s="117"/>
      <c r="BL2" s="117"/>
      <c r="BM2" s="117"/>
      <c r="BN2" s="117"/>
      <c r="BO2" s="117"/>
      <c r="BP2" s="117"/>
      <c r="BQ2" s="117"/>
      <c r="BR2" s="117"/>
      <c r="BS2" s="117"/>
      <c r="BT2" s="117"/>
      <c r="BU2" s="117"/>
      <c r="BV2" s="117"/>
      <c r="BW2" s="117"/>
      <c r="BX2" s="117"/>
      <c r="BY2" s="118"/>
      <c r="BZ2" s="119" t="s">
        <v>771</v>
      </c>
      <c r="CA2" s="113" t="s">
        <v>1865</v>
      </c>
      <c r="CB2" s="114"/>
      <c r="CC2" s="114"/>
      <c r="CD2" s="114"/>
      <c r="CE2" s="114"/>
      <c r="CF2" s="114"/>
      <c r="CG2" s="114"/>
      <c r="CH2" s="114"/>
      <c r="CI2" s="114"/>
      <c r="CJ2" s="114"/>
      <c r="CK2" s="114"/>
      <c r="CL2" s="115"/>
      <c r="CM2" s="112" t="s">
        <v>1866</v>
      </c>
      <c r="CN2" s="113" t="s">
        <v>1867</v>
      </c>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5"/>
      <c r="DT2" s="112" t="s">
        <v>1868</v>
      </c>
      <c r="DU2" s="113" t="s">
        <v>1869</v>
      </c>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4"/>
      <c r="FA2" s="114"/>
      <c r="FB2" s="114"/>
      <c r="FC2" s="114"/>
      <c r="FD2" s="114"/>
      <c r="FE2" s="114"/>
      <c r="FF2" s="114"/>
      <c r="FG2" s="114"/>
      <c r="FH2" s="115"/>
      <c r="FI2" s="109" t="s">
        <v>1870</v>
      </c>
      <c r="FJ2" s="113" t="s">
        <v>1871</v>
      </c>
      <c r="FK2" s="114"/>
      <c r="FL2" s="114"/>
      <c r="FM2" s="114"/>
      <c r="FN2" s="114"/>
      <c r="FO2" s="114"/>
      <c r="FP2" s="114"/>
      <c r="FQ2" s="114"/>
      <c r="FR2" s="114"/>
      <c r="FS2" s="114"/>
      <c r="FT2" s="114"/>
      <c r="FU2" s="114"/>
      <c r="FV2" s="114"/>
      <c r="FW2" s="114"/>
      <c r="FX2" s="114"/>
      <c r="FY2" s="114"/>
      <c r="FZ2" s="114"/>
      <c r="GA2" s="114"/>
      <c r="GB2" s="114"/>
      <c r="GC2" s="114"/>
      <c r="GD2" s="114"/>
      <c r="GE2" s="114"/>
      <c r="GF2" s="114"/>
      <c r="GG2" s="114"/>
      <c r="GH2" s="114"/>
      <c r="GI2" s="114"/>
      <c r="GJ2" s="114"/>
      <c r="GK2" s="115"/>
      <c r="GL2" s="71"/>
      <c r="GM2" s="81"/>
      <c r="GN2" s="81"/>
      <c r="GO2" s="96"/>
      <c r="GP2" s="81"/>
      <c r="GQ2" s="81"/>
      <c r="GR2" s="81"/>
      <c r="GS2" s="81"/>
      <c r="GT2" s="82"/>
      <c r="GU2" s="83"/>
    </row>
    <row r="3" spans="1:203" s="84" customFormat="1" ht="26.25" customHeight="1">
      <c r="A3" s="80"/>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116" t="s">
        <v>1872</v>
      </c>
      <c r="AU3" s="117"/>
      <c r="AV3" s="117"/>
      <c r="AW3" s="118"/>
      <c r="AX3" s="116" t="s">
        <v>1873</v>
      </c>
      <c r="AY3" s="117"/>
      <c r="AZ3" s="117"/>
      <c r="BA3" s="118"/>
      <c r="BB3" s="113" t="s">
        <v>1874</v>
      </c>
      <c r="BC3" s="114"/>
      <c r="BD3" s="114"/>
      <c r="BE3" s="115"/>
      <c r="BF3" s="116" t="s">
        <v>1875</v>
      </c>
      <c r="BG3" s="117"/>
      <c r="BH3" s="117"/>
      <c r="BI3" s="118"/>
      <c r="BJ3" s="113" t="s">
        <v>1876</v>
      </c>
      <c r="BK3" s="114"/>
      <c r="BL3" s="114"/>
      <c r="BM3" s="115"/>
      <c r="BN3" s="113" t="s">
        <v>1877</v>
      </c>
      <c r="BO3" s="114"/>
      <c r="BP3" s="114"/>
      <c r="BQ3" s="115"/>
      <c r="BR3" s="113" t="s">
        <v>1878</v>
      </c>
      <c r="BS3" s="114"/>
      <c r="BT3" s="114"/>
      <c r="BU3" s="115"/>
      <c r="BV3" s="113" t="s">
        <v>1879</v>
      </c>
      <c r="BW3" s="114"/>
      <c r="BX3" s="114"/>
      <c r="BY3" s="115"/>
      <c r="BZ3" s="119"/>
      <c r="CA3" s="108" t="s">
        <v>1880</v>
      </c>
      <c r="CB3" s="108"/>
      <c r="CC3" s="108"/>
      <c r="CD3" s="108"/>
      <c r="CE3" s="108" t="s">
        <v>1881</v>
      </c>
      <c r="CF3" s="108"/>
      <c r="CG3" s="108"/>
      <c r="CH3" s="108"/>
      <c r="CI3" s="108" t="s">
        <v>1882</v>
      </c>
      <c r="CJ3" s="108"/>
      <c r="CK3" s="108"/>
      <c r="CL3" s="108"/>
      <c r="CM3" s="112"/>
      <c r="CN3" s="108" t="s">
        <v>1883</v>
      </c>
      <c r="CO3" s="108"/>
      <c r="CP3" s="108"/>
      <c r="CQ3" s="108"/>
      <c r="CR3" s="108" t="s">
        <v>1884</v>
      </c>
      <c r="CS3" s="108"/>
      <c r="CT3" s="108"/>
      <c r="CU3" s="108"/>
      <c r="CV3" s="108" t="s">
        <v>1885</v>
      </c>
      <c r="CW3" s="108"/>
      <c r="CX3" s="108"/>
      <c r="CY3" s="108"/>
      <c r="CZ3" s="108" t="s">
        <v>1886</v>
      </c>
      <c r="DA3" s="108"/>
      <c r="DB3" s="108"/>
      <c r="DC3" s="108"/>
      <c r="DD3" s="108" t="s">
        <v>1887</v>
      </c>
      <c r="DE3" s="108"/>
      <c r="DF3" s="108"/>
      <c r="DG3" s="108"/>
      <c r="DH3" s="108" t="s">
        <v>1888</v>
      </c>
      <c r="DI3" s="108"/>
      <c r="DJ3" s="108"/>
      <c r="DK3" s="108"/>
      <c r="DL3" s="108" t="s">
        <v>1889</v>
      </c>
      <c r="DM3" s="108"/>
      <c r="DN3" s="108"/>
      <c r="DO3" s="108"/>
      <c r="DP3" s="108" t="s">
        <v>1889</v>
      </c>
      <c r="DQ3" s="108"/>
      <c r="DR3" s="108"/>
      <c r="DS3" s="108"/>
      <c r="DT3" s="112"/>
      <c r="DU3" s="108" t="s">
        <v>1890</v>
      </c>
      <c r="DV3" s="108"/>
      <c r="DW3" s="108"/>
      <c r="DX3" s="108"/>
      <c r="DY3" s="108" t="s">
        <v>1891</v>
      </c>
      <c r="DZ3" s="108"/>
      <c r="EA3" s="108"/>
      <c r="EB3" s="108"/>
      <c r="EC3" s="108" t="s">
        <v>1892</v>
      </c>
      <c r="ED3" s="108"/>
      <c r="EE3" s="108"/>
      <c r="EF3" s="108"/>
      <c r="EG3" s="108" t="s">
        <v>1893</v>
      </c>
      <c r="EH3" s="108"/>
      <c r="EI3" s="108"/>
      <c r="EJ3" s="108"/>
      <c r="EK3" s="108" t="s">
        <v>1894</v>
      </c>
      <c r="EL3" s="108"/>
      <c r="EM3" s="108"/>
      <c r="EN3" s="108"/>
      <c r="EO3" s="108" t="s">
        <v>1895</v>
      </c>
      <c r="EP3" s="108"/>
      <c r="EQ3" s="108"/>
      <c r="ER3" s="108"/>
      <c r="ES3" s="108" t="s">
        <v>1896</v>
      </c>
      <c r="ET3" s="108"/>
      <c r="EU3" s="108"/>
      <c r="EV3" s="108"/>
      <c r="EW3" s="108" t="s">
        <v>1897</v>
      </c>
      <c r="EX3" s="108"/>
      <c r="EY3" s="108"/>
      <c r="EZ3" s="108"/>
      <c r="FA3" s="108" t="s">
        <v>1898</v>
      </c>
      <c r="FB3" s="108"/>
      <c r="FC3" s="108"/>
      <c r="FD3" s="108"/>
      <c r="FE3" s="108" t="s">
        <v>1899</v>
      </c>
      <c r="FF3" s="108"/>
      <c r="FG3" s="108"/>
      <c r="FH3" s="108"/>
      <c r="FI3" s="110"/>
      <c r="FJ3" s="108" t="s">
        <v>1900</v>
      </c>
      <c r="FK3" s="108"/>
      <c r="FL3" s="108"/>
      <c r="FM3" s="108"/>
      <c r="FN3" s="108" t="s">
        <v>1901</v>
      </c>
      <c r="FO3" s="108"/>
      <c r="FP3" s="108"/>
      <c r="FQ3" s="108"/>
      <c r="FR3" s="108" t="s">
        <v>1902</v>
      </c>
      <c r="FS3" s="108"/>
      <c r="FT3" s="108"/>
      <c r="FU3" s="108"/>
      <c r="FV3" s="108" t="s">
        <v>1903</v>
      </c>
      <c r="FW3" s="108"/>
      <c r="FX3" s="108"/>
      <c r="FY3" s="108"/>
      <c r="FZ3" s="108" t="s">
        <v>1904</v>
      </c>
      <c r="GA3" s="108"/>
      <c r="GB3" s="108"/>
      <c r="GC3" s="108"/>
      <c r="GD3" s="108" t="s">
        <v>1905</v>
      </c>
      <c r="GE3" s="108"/>
      <c r="GF3" s="108"/>
      <c r="GG3" s="108"/>
      <c r="GH3" s="108" t="s">
        <v>1882</v>
      </c>
      <c r="GI3" s="108"/>
      <c r="GJ3" s="108"/>
      <c r="GK3" s="108"/>
      <c r="GL3" s="71"/>
      <c r="GM3" s="81"/>
      <c r="GN3" s="81"/>
      <c r="GO3" s="96"/>
      <c r="GP3" s="81"/>
      <c r="GQ3" s="81"/>
      <c r="GR3" s="81"/>
      <c r="GS3" s="81"/>
      <c r="GT3" s="82"/>
      <c r="GU3" s="83"/>
    </row>
    <row r="4" spans="1:203" s="84" customFormat="1" ht="26.25" customHeight="1">
      <c r="A4" s="80"/>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92" t="s">
        <v>1906</v>
      </c>
      <c r="AU4" s="92" t="s">
        <v>1907</v>
      </c>
      <c r="AV4" s="92" t="s">
        <v>1908</v>
      </c>
      <c r="AW4" s="92" t="s">
        <v>1909</v>
      </c>
      <c r="AX4" s="92" t="s">
        <v>1906</v>
      </c>
      <c r="AY4" s="92" t="s">
        <v>1907</v>
      </c>
      <c r="AZ4" s="92" t="s">
        <v>1908</v>
      </c>
      <c r="BA4" s="92" t="s">
        <v>1909</v>
      </c>
      <c r="BB4" s="92" t="s">
        <v>1906</v>
      </c>
      <c r="BC4" s="92" t="s">
        <v>1907</v>
      </c>
      <c r="BD4" s="92" t="s">
        <v>1908</v>
      </c>
      <c r="BE4" s="92" t="s">
        <v>1909</v>
      </c>
      <c r="BF4" s="92" t="s">
        <v>1906</v>
      </c>
      <c r="BG4" s="92" t="s">
        <v>1907</v>
      </c>
      <c r="BH4" s="92" t="s">
        <v>1908</v>
      </c>
      <c r="BI4" s="92" t="s">
        <v>1909</v>
      </c>
      <c r="BJ4" s="92" t="s">
        <v>1906</v>
      </c>
      <c r="BK4" s="92" t="s">
        <v>1907</v>
      </c>
      <c r="BL4" s="92" t="s">
        <v>1908</v>
      </c>
      <c r="BM4" s="92" t="s">
        <v>1909</v>
      </c>
      <c r="BN4" s="92" t="s">
        <v>1906</v>
      </c>
      <c r="BO4" s="92" t="s">
        <v>1907</v>
      </c>
      <c r="BP4" s="92" t="s">
        <v>1908</v>
      </c>
      <c r="BQ4" s="92" t="s">
        <v>1909</v>
      </c>
      <c r="BR4" s="92" t="s">
        <v>1906</v>
      </c>
      <c r="BS4" s="92" t="s">
        <v>1907</v>
      </c>
      <c r="BT4" s="92" t="s">
        <v>1908</v>
      </c>
      <c r="BU4" s="92" t="s">
        <v>1909</v>
      </c>
      <c r="BV4" s="92" t="s">
        <v>1906</v>
      </c>
      <c r="BW4" s="92" t="s">
        <v>1907</v>
      </c>
      <c r="BX4" s="92" t="s">
        <v>1908</v>
      </c>
      <c r="BY4" s="92" t="s">
        <v>1909</v>
      </c>
      <c r="BZ4" s="119"/>
      <c r="CA4" s="92" t="s">
        <v>1906</v>
      </c>
      <c r="CB4" s="92" t="s">
        <v>1907</v>
      </c>
      <c r="CC4" s="92" t="s">
        <v>1908</v>
      </c>
      <c r="CD4" s="92" t="s">
        <v>1909</v>
      </c>
      <c r="CE4" s="92" t="s">
        <v>1906</v>
      </c>
      <c r="CF4" s="92" t="s">
        <v>1907</v>
      </c>
      <c r="CG4" s="92" t="s">
        <v>1908</v>
      </c>
      <c r="CH4" s="92" t="s">
        <v>1909</v>
      </c>
      <c r="CI4" s="92" t="s">
        <v>1906</v>
      </c>
      <c r="CJ4" s="92" t="s">
        <v>1907</v>
      </c>
      <c r="CK4" s="92" t="s">
        <v>1908</v>
      </c>
      <c r="CL4" s="92" t="s">
        <v>1909</v>
      </c>
      <c r="CM4" s="112"/>
      <c r="CN4" s="92" t="s">
        <v>1906</v>
      </c>
      <c r="CO4" s="92" t="s">
        <v>1907</v>
      </c>
      <c r="CP4" s="92" t="s">
        <v>1908</v>
      </c>
      <c r="CQ4" s="92" t="s">
        <v>1909</v>
      </c>
      <c r="CR4" s="92" t="s">
        <v>1906</v>
      </c>
      <c r="CS4" s="92" t="s">
        <v>1907</v>
      </c>
      <c r="CT4" s="92" t="s">
        <v>1908</v>
      </c>
      <c r="CU4" s="92" t="s">
        <v>1909</v>
      </c>
      <c r="CV4" s="92" t="s">
        <v>1906</v>
      </c>
      <c r="CW4" s="92" t="s">
        <v>1907</v>
      </c>
      <c r="CX4" s="92" t="s">
        <v>1908</v>
      </c>
      <c r="CY4" s="92" t="s">
        <v>1909</v>
      </c>
      <c r="CZ4" s="92" t="s">
        <v>1906</v>
      </c>
      <c r="DA4" s="92" t="s">
        <v>1907</v>
      </c>
      <c r="DB4" s="92" t="s">
        <v>1908</v>
      </c>
      <c r="DC4" s="92" t="s">
        <v>1909</v>
      </c>
      <c r="DD4" s="92" t="s">
        <v>1906</v>
      </c>
      <c r="DE4" s="92" t="s">
        <v>1907</v>
      </c>
      <c r="DF4" s="92" t="s">
        <v>1908</v>
      </c>
      <c r="DG4" s="92" t="s">
        <v>1909</v>
      </c>
      <c r="DH4" s="92" t="s">
        <v>1906</v>
      </c>
      <c r="DI4" s="92" t="s">
        <v>1907</v>
      </c>
      <c r="DJ4" s="92" t="s">
        <v>1908</v>
      </c>
      <c r="DK4" s="92" t="s">
        <v>1909</v>
      </c>
      <c r="DL4" s="92" t="s">
        <v>1906</v>
      </c>
      <c r="DM4" s="92" t="s">
        <v>1907</v>
      </c>
      <c r="DN4" s="92" t="s">
        <v>1908</v>
      </c>
      <c r="DO4" s="92" t="s">
        <v>1909</v>
      </c>
      <c r="DP4" s="92" t="s">
        <v>1906</v>
      </c>
      <c r="DQ4" s="92" t="s">
        <v>1907</v>
      </c>
      <c r="DR4" s="92" t="s">
        <v>1908</v>
      </c>
      <c r="DS4" s="92" t="s">
        <v>1909</v>
      </c>
      <c r="DT4" s="112"/>
      <c r="DU4" s="92" t="s">
        <v>1906</v>
      </c>
      <c r="DV4" s="92" t="s">
        <v>1907</v>
      </c>
      <c r="DW4" s="92" t="s">
        <v>1908</v>
      </c>
      <c r="DX4" s="92" t="s">
        <v>1909</v>
      </c>
      <c r="DY4" s="92" t="s">
        <v>1906</v>
      </c>
      <c r="DZ4" s="92" t="s">
        <v>1907</v>
      </c>
      <c r="EA4" s="92" t="s">
        <v>1908</v>
      </c>
      <c r="EB4" s="92" t="s">
        <v>1909</v>
      </c>
      <c r="EC4" s="92" t="s">
        <v>1906</v>
      </c>
      <c r="ED4" s="92" t="s">
        <v>1907</v>
      </c>
      <c r="EE4" s="92" t="s">
        <v>1908</v>
      </c>
      <c r="EF4" s="92" t="s">
        <v>1909</v>
      </c>
      <c r="EG4" s="92" t="s">
        <v>1906</v>
      </c>
      <c r="EH4" s="92" t="s">
        <v>1907</v>
      </c>
      <c r="EI4" s="92" t="s">
        <v>1908</v>
      </c>
      <c r="EJ4" s="1" t="s">
        <v>1909</v>
      </c>
      <c r="EK4" s="92" t="s">
        <v>1906</v>
      </c>
      <c r="EL4" s="92" t="s">
        <v>1907</v>
      </c>
      <c r="EM4" s="92" t="s">
        <v>1908</v>
      </c>
      <c r="EN4" s="92" t="s">
        <v>1909</v>
      </c>
      <c r="EO4" s="92" t="s">
        <v>1906</v>
      </c>
      <c r="EP4" s="92" t="s">
        <v>1907</v>
      </c>
      <c r="EQ4" s="92" t="s">
        <v>1908</v>
      </c>
      <c r="ER4" s="1" t="s">
        <v>1909</v>
      </c>
      <c r="ES4" s="92" t="s">
        <v>1906</v>
      </c>
      <c r="ET4" s="92" t="s">
        <v>1907</v>
      </c>
      <c r="EU4" s="92" t="s">
        <v>1908</v>
      </c>
      <c r="EV4" s="92" t="s">
        <v>1909</v>
      </c>
      <c r="EW4" s="92" t="s">
        <v>1906</v>
      </c>
      <c r="EX4" s="92" t="s">
        <v>1907</v>
      </c>
      <c r="EY4" s="92" t="s">
        <v>1908</v>
      </c>
      <c r="EZ4" s="92" t="s">
        <v>1909</v>
      </c>
      <c r="FA4" s="92" t="s">
        <v>1906</v>
      </c>
      <c r="FB4" s="92" t="s">
        <v>1907</v>
      </c>
      <c r="FC4" s="92" t="s">
        <v>1908</v>
      </c>
      <c r="FD4" s="92" t="s">
        <v>1909</v>
      </c>
      <c r="FE4" s="92" t="s">
        <v>1906</v>
      </c>
      <c r="FF4" s="92" t="s">
        <v>1907</v>
      </c>
      <c r="FG4" s="92" t="s">
        <v>1908</v>
      </c>
      <c r="FH4" s="92" t="s">
        <v>1909</v>
      </c>
      <c r="FI4" s="111"/>
      <c r="FJ4" s="92" t="s">
        <v>1906</v>
      </c>
      <c r="FK4" s="92" t="s">
        <v>1907</v>
      </c>
      <c r="FL4" s="92" t="s">
        <v>1908</v>
      </c>
      <c r="FM4" s="92" t="s">
        <v>1909</v>
      </c>
      <c r="FN4" s="92" t="s">
        <v>1906</v>
      </c>
      <c r="FO4" s="92" t="s">
        <v>1907</v>
      </c>
      <c r="FP4" s="92" t="s">
        <v>1908</v>
      </c>
      <c r="FQ4" s="92" t="s">
        <v>1909</v>
      </c>
      <c r="FR4" s="92" t="s">
        <v>1906</v>
      </c>
      <c r="FS4" s="92" t="s">
        <v>1907</v>
      </c>
      <c r="FT4" s="92" t="s">
        <v>1908</v>
      </c>
      <c r="FU4" s="92" t="s">
        <v>1909</v>
      </c>
      <c r="FV4" s="92" t="s">
        <v>1906</v>
      </c>
      <c r="FW4" s="92" t="s">
        <v>1907</v>
      </c>
      <c r="FX4" s="92" t="s">
        <v>1908</v>
      </c>
      <c r="FY4" s="92" t="s">
        <v>1909</v>
      </c>
      <c r="FZ4" s="92" t="s">
        <v>1906</v>
      </c>
      <c r="GA4" s="92" t="s">
        <v>1907</v>
      </c>
      <c r="GB4" s="92" t="s">
        <v>1908</v>
      </c>
      <c r="GC4" s="92" t="s">
        <v>1909</v>
      </c>
      <c r="GD4" s="92" t="s">
        <v>1906</v>
      </c>
      <c r="GE4" s="92" t="s">
        <v>1907</v>
      </c>
      <c r="GF4" s="92" t="s">
        <v>1908</v>
      </c>
      <c r="GG4" s="92" t="s">
        <v>1909</v>
      </c>
      <c r="GH4" s="92" t="s">
        <v>1906</v>
      </c>
      <c r="GI4" s="92" t="s">
        <v>1907</v>
      </c>
      <c r="GJ4" s="92" t="s">
        <v>1908</v>
      </c>
      <c r="GK4" s="92" t="s">
        <v>1909</v>
      </c>
      <c r="GL4" s="71"/>
      <c r="GM4" s="81"/>
      <c r="GN4" s="81"/>
      <c r="GO4" s="96"/>
      <c r="GP4" s="81"/>
      <c r="GQ4" s="81"/>
      <c r="GR4" s="81"/>
      <c r="GS4" s="81"/>
      <c r="GT4" s="82"/>
      <c r="GU4" s="83"/>
    </row>
    <row r="5" spans="1:203" ht="158.25" customHeight="1">
      <c r="A5" s="44">
        <v>1</v>
      </c>
      <c r="B5" s="92" t="s">
        <v>3</v>
      </c>
      <c r="C5" s="2" t="s">
        <v>15</v>
      </c>
      <c r="D5" s="2" t="s">
        <v>2</v>
      </c>
      <c r="E5" s="3" t="s">
        <v>867</v>
      </c>
      <c r="F5" s="3" t="s">
        <v>870</v>
      </c>
      <c r="G5" s="2" t="s">
        <v>676</v>
      </c>
      <c r="H5" s="2" t="s">
        <v>16</v>
      </c>
      <c r="I5" s="2" t="s">
        <v>4</v>
      </c>
      <c r="J5" s="3" t="s">
        <v>123</v>
      </c>
      <c r="K5" s="3" t="s">
        <v>108</v>
      </c>
      <c r="L5" s="2" t="s">
        <v>362</v>
      </c>
      <c r="M5" s="2" t="s">
        <v>46</v>
      </c>
      <c r="N5" s="3" t="s">
        <v>112</v>
      </c>
      <c r="O5" s="3" t="s">
        <v>114</v>
      </c>
      <c r="P5" s="3" t="s">
        <v>363</v>
      </c>
      <c r="Q5" s="4" t="s">
        <v>128</v>
      </c>
      <c r="R5" s="4">
        <v>20</v>
      </c>
      <c r="S5" s="4">
        <v>25</v>
      </c>
      <c r="T5" s="4">
        <v>5000</v>
      </c>
      <c r="U5" s="3">
        <v>120</v>
      </c>
      <c r="V5" s="3">
        <v>150</v>
      </c>
      <c r="W5" s="3" t="s">
        <v>118</v>
      </c>
      <c r="X5" s="3">
        <v>5.8</v>
      </c>
      <c r="Y5" s="2">
        <v>7.5</v>
      </c>
      <c r="Z5" s="2" t="s">
        <v>364</v>
      </c>
      <c r="AA5" s="2" t="s">
        <v>365</v>
      </c>
      <c r="AB5" s="3" t="s">
        <v>113</v>
      </c>
      <c r="AC5" s="3">
        <v>50000</v>
      </c>
      <c r="AD5" s="4">
        <v>15</v>
      </c>
      <c r="AE5" s="3">
        <v>0</v>
      </c>
      <c r="AF5" s="3">
        <v>80000</v>
      </c>
      <c r="AG5" s="3">
        <f>(AC5*AD5)+(AE5*AF5)</f>
        <v>750000</v>
      </c>
      <c r="AH5" s="2" t="s">
        <v>366</v>
      </c>
      <c r="AI5" s="2">
        <v>1</v>
      </c>
      <c r="AJ5" s="2">
        <v>1000</v>
      </c>
      <c r="AK5" s="2">
        <v>275</v>
      </c>
      <c r="AL5" s="2">
        <f>6000</f>
        <v>6000</v>
      </c>
      <c r="AM5" s="2">
        <v>130</v>
      </c>
      <c r="AN5" s="2">
        <v>3000</v>
      </c>
      <c r="AO5" s="2"/>
      <c r="AP5" s="2"/>
      <c r="AQ5" s="2">
        <f t="shared" ref="AQ5:AQ63" si="0">(AI5*AJ5)+(AK5*AL5)+(AM5*AN5)+(AO5*AP5)</f>
        <v>2041000</v>
      </c>
      <c r="AR5" s="3" t="s">
        <v>367</v>
      </c>
      <c r="AS5" s="3" t="s">
        <v>368</v>
      </c>
      <c r="AT5" s="3" t="s">
        <v>125</v>
      </c>
      <c r="AU5" s="3">
        <v>0</v>
      </c>
      <c r="AV5" s="3">
        <v>6000</v>
      </c>
      <c r="AW5" s="3">
        <f t="shared" ref="AW5:AW18" si="1">AU5*AV5</f>
        <v>0</v>
      </c>
      <c r="AX5" s="3" t="s">
        <v>125</v>
      </c>
      <c r="AY5" s="3">
        <v>0</v>
      </c>
      <c r="AZ5" s="3">
        <v>6000</v>
      </c>
      <c r="BA5" s="3">
        <f t="shared" ref="BA5:BA61" si="2">AY5*AZ5</f>
        <v>0</v>
      </c>
      <c r="BB5" s="3" t="s">
        <v>125</v>
      </c>
      <c r="BC5" s="3">
        <v>0</v>
      </c>
      <c r="BD5" s="3">
        <v>6000</v>
      </c>
      <c r="BE5" s="3">
        <f t="shared" ref="BE5:BE61" si="3">BC5*BD5</f>
        <v>0</v>
      </c>
      <c r="BF5" s="3" t="s">
        <v>125</v>
      </c>
      <c r="BG5" s="3">
        <v>0</v>
      </c>
      <c r="BH5" s="3">
        <v>6000</v>
      </c>
      <c r="BI5" s="3">
        <f t="shared" ref="BI5:BI21" si="4">BG5*BH5</f>
        <v>0</v>
      </c>
      <c r="BJ5" s="3" t="s">
        <v>126</v>
      </c>
      <c r="BK5" s="3">
        <v>1</v>
      </c>
      <c r="BL5" s="3"/>
      <c r="BM5" s="3">
        <f t="shared" ref="BM5:BM14" si="5">BK5*BL5</f>
        <v>0</v>
      </c>
      <c r="BN5" s="3" t="s">
        <v>125</v>
      </c>
      <c r="BO5" s="3">
        <v>1</v>
      </c>
      <c r="BP5" s="3"/>
      <c r="BQ5" s="3">
        <f t="shared" ref="BQ5:BQ18" si="6">BO5*BP5</f>
        <v>0</v>
      </c>
      <c r="BR5" s="3" t="s">
        <v>125</v>
      </c>
      <c r="BS5" s="3">
        <v>1</v>
      </c>
      <c r="BT5" s="3"/>
      <c r="BU5" s="3">
        <f t="shared" ref="BU5:BU42" si="7">BS5*BT5</f>
        <v>0</v>
      </c>
      <c r="BV5" s="3" t="s">
        <v>125</v>
      </c>
      <c r="BW5" s="3">
        <v>1</v>
      </c>
      <c r="BX5" s="3"/>
      <c r="BY5" s="3">
        <f t="shared" ref="BY5:BY18" si="8">BW5*BX5</f>
        <v>0</v>
      </c>
      <c r="BZ5" s="92">
        <f t="shared" ref="BZ5:BZ49" si="9">AW5+BE5+BM5+BQ5+BU5+BI5+BY5</f>
        <v>0</v>
      </c>
      <c r="CA5" s="3" t="s">
        <v>125</v>
      </c>
      <c r="CB5" s="3">
        <v>5</v>
      </c>
      <c r="CC5" s="3">
        <v>8000</v>
      </c>
      <c r="CD5" s="3">
        <f t="shared" ref="CD5:CD63" si="10">CB5*CC5</f>
        <v>40000</v>
      </c>
      <c r="CE5" s="3" t="s">
        <v>125</v>
      </c>
      <c r="CF5" s="3">
        <v>1</v>
      </c>
      <c r="CG5" s="3">
        <v>200000</v>
      </c>
      <c r="CH5" s="3">
        <f t="shared" ref="CH5:CH63" si="11">CF5*CG5</f>
        <v>200000</v>
      </c>
      <c r="CI5" s="3" t="s">
        <v>139</v>
      </c>
      <c r="CJ5" s="3">
        <v>1</v>
      </c>
      <c r="CK5" s="3"/>
      <c r="CL5" s="3">
        <f t="shared" ref="CL5:CL61" si="12">CJ5*CK5</f>
        <v>0</v>
      </c>
      <c r="CM5" s="5">
        <f t="shared" ref="CM5:CM61" si="13">CD5+CH5+CL5</f>
        <v>240000</v>
      </c>
      <c r="CN5" s="3" t="s">
        <v>125</v>
      </c>
      <c r="CO5" s="3">
        <v>10</v>
      </c>
      <c r="CP5" s="3">
        <v>6000</v>
      </c>
      <c r="CQ5" s="3">
        <f t="shared" ref="CQ5:CQ36" si="14">CO5*CP5</f>
        <v>60000</v>
      </c>
      <c r="CR5" s="3" t="s">
        <v>125</v>
      </c>
      <c r="CS5" s="3">
        <v>0</v>
      </c>
      <c r="CT5" s="3">
        <v>6000</v>
      </c>
      <c r="CU5" s="3">
        <f t="shared" ref="CU5:CU16" si="15">CS5*CT5</f>
        <v>0</v>
      </c>
      <c r="CV5" s="3" t="s">
        <v>125</v>
      </c>
      <c r="CW5" s="3">
        <v>15</v>
      </c>
      <c r="CX5" s="3">
        <v>6000</v>
      </c>
      <c r="CY5" s="3">
        <f t="shared" ref="CY5:CY36" si="16">CW5*CX5</f>
        <v>90000</v>
      </c>
      <c r="CZ5" s="3" t="s">
        <v>125</v>
      </c>
      <c r="DA5" s="3">
        <v>10</v>
      </c>
      <c r="DB5" s="3">
        <v>6000</v>
      </c>
      <c r="DC5" s="3">
        <f t="shared" ref="DC5:DC36" si="17">DA5*DB5</f>
        <v>60000</v>
      </c>
      <c r="DD5" s="3" t="s">
        <v>125</v>
      </c>
      <c r="DE5" s="3">
        <v>2</v>
      </c>
      <c r="DF5" s="3">
        <v>6000</v>
      </c>
      <c r="DG5" s="3">
        <f t="shared" ref="DG5:DG36" si="18">DE5*DF5</f>
        <v>12000</v>
      </c>
      <c r="DH5" s="3" t="s">
        <v>125</v>
      </c>
      <c r="DI5" s="3"/>
      <c r="DJ5" s="3">
        <v>6000</v>
      </c>
      <c r="DK5" s="3">
        <f t="shared" ref="DK5:DK36" si="19">DI5*DJ5</f>
        <v>0</v>
      </c>
      <c r="DL5" s="3" t="s">
        <v>125</v>
      </c>
      <c r="DM5" s="3"/>
      <c r="DN5" s="3">
        <v>6000</v>
      </c>
      <c r="DO5" s="3">
        <f t="shared" ref="DO5:DO16" si="20">DM5*DN5</f>
        <v>0</v>
      </c>
      <c r="DP5" s="3" t="s">
        <v>125</v>
      </c>
      <c r="DQ5" s="3"/>
      <c r="DR5" s="3">
        <v>6000</v>
      </c>
      <c r="DS5" s="3">
        <f t="shared" ref="DS5:DS42" si="21">DQ5*DR5</f>
        <v>0</v>
      </c>
      <c r="DT5" s="6">
        <f t="shared" ref="DT5:DT42" si="22">CQ5+CU5+CY5+DC5+DG5+DK5+DO5+DS5</f>
        <v>222000</v>
      </c>
      <c r="DU5" s="3" t="s">
        <v>20</v>
      </c>
      <c r="DV5" s="3">
        <f>R5</f>
        <v>20</v>
      </c>
      <c r="DW5" s="3">
        <f>T5</f>
        <v>5000</v>
      </c>
      <c r="DX5" s="3">
        <f t="shared" ref="DX5:DX61" si="23">DV5*DW5</f>
        <v>100000</v>
      </c>
      <c r="DY5" s="3" t="s">
        <v>127</v>
      </c>
      <c r="DZ5" s="3">
        <f>AD5</f>
        <v>15</v>
      </c>
      <c r="EA5" s="3">
        <v>50000</v>
      </c>
      <c r="EB5" s="3">
        <f t="shared" ref="EB5:EB61" si="24">DZ5*EA5</f>
        <v>750000</v>
      </c>
      <c r="EC5" s="3" t="s">
        <v>127</v>
      </c>
      <c r="ED5" s="3">
        <f>AE5</f>
        <v>0</v>
      </c>
      <c r="EE5" s="3">
        <v>80000</v>
      </c>
      <c r="EF5" s="3">
        <f t="shared" ref="EF5:EF61" si="25">ED5*EE5</f>
        <v>0</v>
      </c>
      <c r="EG5" s="3" t="s">
        <v>126</v>
      </c>
      <c r="EH5" s="3">
        <f>AK5</f>
        <v>275</v>
      </c>
      <c r="EI5" s="3">
        <v>6000</v>
      </c>
      <c r="EJ5" s="7">
        <f t="shared" ref="EJ5:EJ36" si="26">EH5*EI5</f>
        <v>1650000</v>
      </c>
      <c r="EK5" s="3" t="s">
        <v>126</v>
      </c>
      <c r="EL5" s="3">
        <f>AM5</f>
        <v>130</v>
      </c>
      <c r="EM5" s="3">
        <v>3000</v>
      </c>
      <c r="EN5" s="3">
        <f t="shared" ref="EN5:EN61" si="27">EL5*EM5</f>
        <v>390000</v>
      </c>
      <c r="EO5" s="3" t="s">
        <v>126</v>
      </c>
      <c r="EP5" s="3">
        <f>AI5</f>
        <v>1</v>
      </c>
      <c r="EQ5" s="3">
        <v>1000</v>
      </c>
      <c r="ER5" s="7">
        <f>EP5*EQ5</f>
        <v>1000</v>
      </c>
      <c r="ES5" s="3" t="s">
        <v>124</v>
      </c>
      <c r="ET5" s="3">
        <v>2</v>
      </c>
      <c r="EU5" s="3">
        <v>60000</v>
      </c>
      <c r="EV5" s="3">
        <f t="shared" ref="EV5:EV61" si="28">ET5*EU5</f>
        <v>120000</v>
      </c>
      <c r="EW5" s="3" t="s">
        <v>124</v>
      </c>
      <c r="EX5" s="3">
        <v>0</v>
      </c>
      <c r="EY5" s="3">
        <v>60000</v>
      </c>
      <c r="EZ5" s="3">
        <f t="shared" ref="EZ5:EZ61" si="29">EX5*EY5</f>
        <v>0</v>
      </c>
      <c r="FA5" s="3" t="s">
        <v>132</v>
      </c>
      <c r="FB5" s="3"/>
      <c r="FC5" s="3">
        <v>1000</v>
      </c>
      <c r="FD5" s="3">
        <f t="shared" ref="FD5:FD61" si="30">FB5*FC5</f>
        <v>0</v>
      </c>
      <c r="FE5" s="3" t="s">
        <v>126</v>
      </c>
      <c r="FF5" s="3">
        <f>AO5</f>
        <v>0</v>
      </c>
      <c r="FG5" s="3">
        <v>6000</v>
      </c>
      <c r="FH5" s="3">
        <f t="shared" ref="FH5:FH61" si="31">FF5*FG5</f>
        <v>0</v>
      </c>
      <c r="FI5" s="1">
        <f t="shared" ref="FI5:FI61" si="32">DX5+EB5+EF5+EJ5+EN5+ER5+EZ5+EV5+FD5+FH5</f>
        <v>3011000</v>
      </c>
      <c r="FJ5" s="3" t="s">
        <v>139</v>
      </c>
      <c r="FK5" s="3">
        <v>10</v>
      </c>
      <c r="FL5" s="3">
        <v>6000</v>
      </c>
      <c r="FM5" s="3">
        <f t="shared" ref="FM5:FM61" si="33">FK5*FL5</f>
        <v>60000</v>
      </c>
      <c r="FN5" s="3" t="s">
        <v>139</v>
      </c>
      <c r="FO5" s="3"/>
      <c r="FP5" s="3">
        <v>6000</v>
      </c>
      <c r="FQ5" s="3">
        <f>FO5*FP5</f>
        <v>0</v>
      </c>
      <c r="FR5" s="3" t="s">
        <v>139</v>
      </c>
      <c r="FS5" s="3">
        <v>10</v>
      </c>
      <c r="FT5" s="3">
        <v>6000</v>
      </c>
      <c r="FU5" s="3">
        <f t="shared" ref="FU5:FU61" si="34">FS5*FT5</f>
        <v>60000</v>
      </c>
      <c r="FV5" s="3" t="s">
        <v>139</v>
      </c>
      <c r="FW5" s="3">
        <v>4</v>
      </c>
      <c r="FX5" s="3">
        <v>8000</v>
      </c>
      <c r="FY5" s="3">
        <f t="shared" ref="FY5:FY61" si="35">FW5*FX5</f>
        <v>32000</v>
      </c>
      <c r="FZ5" s="3" t="s">
        <v>139</v>
      </c>
      <c r="GA5" s="3">
        <v>2</v>
      </c>
      <c r="GB5" s="3">
        <v>8000</v>
      </c>
      <c r="GC5" s="3">
        <f t="shared" ref="GC5:GC61" si="36">GA5*GB5</f>
        <v>16000</v>
      </c>
      <c r="GD5" s="3" t="s">
        <v>139</v>
      </c>
      <c r="GE5" s="3">
        <v>10</v>
      </c>
      <c r="GF5" s="3">
        <v>10000</v>
      </c>
      <c r="GG5" s="3">
        <f t="shared" ref="GG5:GG61" si="37">GE5*GF5</f>
        <v>100000</v>
      </c>
      <c r="GH5" s="3" t="s">
        <v>139</v>
      </c>
      <c r="GI5" s="3"/>
      <c r="GJ5" s="3"/>
      <c r="GK5" s="3">
        <f t="shared" ref="GK5:GK61" si="38">GI5*GJ5</f>
        <v>0</v>
      </c>
      <c r="GL5" s="92">
        <f t="shared" ref="GL5:GL61" si="39">FM5+FQ5+FU5+FY5+GC5+GG5+GK5</f>
        <v>268000</v>
      </c>
      <c r="GM5" s="8">
        <f t="shared" ref="GM5:GM61" si="40">BZ5+CM5+DT5+FI5+GL5</f>
        <v>3741000</v>
      </c>
      <c r="GN5" s="8">
        <f t="shared" ref="GN5:GN61" si="41">X5*1000</f>
        <v>5800</v>
      </c>
      <c r="GO5" s="97">
        <v>2000</v>
      </c>
      <c r="GP5" s="8">
        <f>GN5*GO5</f>
        <v>11600000</v>
      </c>
      <c r="GQ5" s="8">
        <f t="shared" ref="GQ5:GQ61" si="42">(GO5*Y5*1000)</f>
        <v>15000000</v>
      </c>
      <c r="GR5" s="8">
        <f t="shared" ref="GR5:GR61" si="43">GP5-GM5</f>
        <v>7859000</v>
      </c>
      <c r="GS5" s="8">
        <f t="shared" ref="GS5:GS61" si="44">GQ5-GM5</f>
        <v>11259000</v>
      </c>
      <c r="GT5" s="3" t="s">
        <v>1721</v>
      </c>
      <c r="GU5" s="45" t="s">
        <v>1848</v>
      </c>
    </row>
    <row r="6" spans="1:203" s="24" customFormat="1" ht="158.25" customHeight="1">
      <c r="A6" s="44">
        <v>2</v>
      </c>
      <c r="B6" s="92" t="s">
        <v>3</v>
      </c>
      <c r="C6" s="2" t="s">
        <v>15</v>
      </c>
      <c r="D6" s="2" t="s">
        <v>5</v>
      </c>
      <c r="E6" s="3" t="s">
        <v>868</v>
      </c>
      <c r="F6" s="3" t="s">
        <v>705</v>
      </c>
      <c r="G6" s="2" t="s">
        <v>369</v>
      </c>
      <c r="H6" s="2" t="s">
        <v>16</v>
      </c>
      <c r="I6" s="2" t="s">
        <v>699</v>
      </c>
      <c r="J6" s="3" t="s">
        <v>122</v>
      </c>
      <c r="K6" s="3" t="s">
        <v>108</v>
      </c>
      <c r="L6" s="3" t="s">
        <v>109</v>
      </c>
      <c r="M6" s="2" t="s">
        <v>11</v>
      </c>
      <c r="N6" s="3" t="s">
        <v>112</v>
      </c>
      <c r="O6" s="3" t="s">
        <v>114</v>
      </c>
      <c r="P6" s="3" t="s">
        <v>363</v>
      </c>
      <c r="Q6" s="4" t="s">
        <v>128</v>
      </c>
      <c r="R6" s="4">
        <v>20</v>
      </c>
      <c r="S6" s="4">
        <v>25</v>
      </c>
      <c r="T6" s="4">
        <v>5000</v>
      </c>
      <c r="U6" s="3">
        <v>105</v>
      </c>
      <c r="V6" s="3">
        <v>120</v>
      </c>
      <c r="W6" s="3" t="s">
        <v>117</v>
      </c>
      <c r="X6" s="3">
        <v>5.4</v>
      </c>
      <c r="Y6" s="2">
        <v>6.6</v>
      </c>
      <c r="Z6" s="2" t="s">
        <v>364</v>
      </c>
      <c r="AA6" s="2" t="s">
        <v>365</v>
      </c>
      <c r="AB6" s="3" t="s">
        <v>113</v>
      </c>
      <c r="AC6" s="3">
        <v>50000</v>
      </c>
      <c r="AD6" s="4">
        <v>15</v>
      </c>
      <c r="AE6" s="3">
        <v>0</v>
      </c>
      <c r="AF6" s="3">
        <v>80000</v>
      </c>
      <c r="AG6" s="3">
        <f t="shared" ref="AG6:AG64" si="45">(AC6*AD6)+(AE6*AF6)</f>
        <v>750000</v>
      </c>
      <c r="AH6" s="2" t="s">
        <v>366</v>
      </c>
      <c r="AI6" s="2">
        <v>1</v>
      </c>
      <c r="AJ6" s="2">
        <v>1000</v>
      </c>
      <c r="AK6" s="2">
        <v>275</v>
      </c>
      <c r="AL6" s="2">
        <f>6000</f>
        <v>6000</v>
      </c>
      <c r="AM6" s="2">
        <v>130</v>
      </c>
      <c r="AN6" s="2">
        <v>3000</v>
      </c>
      <c r="AO6" s="2"/>
      <c r="AP6" s="2"/>
      <c r="AQ6" s="2">
        <f t="shared" si="0"/>
        <v>2041000</v>
      </c>
      <c r="AR6" s="3" t="s">
        <v>367</v>
      </c>
      <c r="AS6" s="3" t="s">
        <v>368</v>
      </c>
      <c r="AT6" s="3" t="s">
        <v>125</v>
      </c>
      <c r="AU6" s="3">
        <v>0</v>
      </c>
      <c r="AV6" s="3">
        <v>6000</v>
      </c>
      <c r="AW6" s="3">
        <f t="shared" si="1"/>
        <v>0</v>
      </c>
      <c r="AX6" s="3" t="s">
        <v>125</v>
      </c>
      <c r="AY6" s="3">
        <v>0</v>
      </c>
      <c r="AZ6" s="3">
        <v>6000</v>
      </c>
      <c r="BA6" s="3">
        <f t="shared" si="2"/>
        <v>0</v>
      </c>
      <c r="BB6" s="3" t="s">
        <v>125</v>
      </c>
      <c r="BC6" s="3">
        <v>0</v>
      </c>
      <c r="BD6" s="3">
        <v>6000</v>
      </c>
      <c r="BE6" s="3">
        <f t="shared" si="3"/>
        <v>0</v>
      </c>
      <c r="BF6" s="3" t="s">
        <v>125</v>
      </c>
      <c r="BG6" s="3">
        <v>0</v>
      </c>
      <c r="BH6" s="3">
        <v>6000</v>
      </c>
      <c r="BI6" s="3">
        <f t="shared" si="4"/>
        <v>0</v>
      </c>
      <c r="BJ6" s="3" t="s">
        <v>126</v>
      </c>
      <c r="BK6" s="3">
        <v>1</v>
      </c>
      <c r="BL6" s="3"/>
      <c r="BM6" s="3">
        <f t="shared" si="5"/>
        <v>0</v>
      </c>
      <c r="BN6" s="3" t="s">
        <v>125</v>
      </c>
      <c r="BO6" s="3">
        <v>1</v>
      </c>
      <c r="BP6" s="3"/>
      <c r="BQ6" s="3">
        <f t="shared" si="6"/>
        <v>0</v>
      </c>
      <c r="BR6" s="3" t="s">
        <v>125</v>
      </c>
      <c r="BS6" s="3">
        <v>1</v>
      </c>
      <c r="BT6" s="3"/>
      <c r="BU6" s="3">
        <f t="shared" si="7"/>
        <v>0</v>
      </c>
      <c r="BV6" s="3" t="s">
        <v>125</v>
      </c>
      <c r="BW6" s="3">
        <v>1</v>
      </c>
      <c r="BX6" s="3"/>
      <c r="BY6" s="3">
        <f t="shared" si="8"/>
        <v>0</v>
      </c>
      <c r="BZ6" s="92">
        <f t="shared" si="9"/>
        <v>0</v>
      </c>
      <c r="CA6" s="3" t="s">
        <v>125</v>
      </c>
      <c r="CB6" s="3">
        <v>5</v>
      </c>
      <c r="CC6" s="3">
        <v>8000</v>
      </c>
      <c r="CD6" s="3">
        <f t="shared" si="10"/>
        <v>40000</v>
      </c>
      <c r="CE6" s="3" t="s">
        <v>125</v>
      </c>
      <c r="CF6" s="3">
        <v>1</v>
      </c>
      <c r="CG6" s="3">
        <v>200000</v>
      </c>
      <c r="CH6" s="3">
        <f t="shared" si="11"/>
        <v>200000</v>
      </c>
      <c r="CI6" s="3" t="s">
        <v>139</v>
      </c>
      <c r="CJ6" s="3">
        <v>1</v>
      </c>
      <c r="CK6" s="3"/>
      <c r="CL6" s="3">
        <f t="shared" si="12"/>
        <v>0</v>
      </c>
      <c r="CM6" s="5">
        <f t="shared" si="13"/>
        <v>240000</v>
      </c>
      <c r="CN6" s="3" t="s">
        <v>125</v>
      </c>
      <c r="CO6" s="3">
        <v>10</v>
      </c>
      <c r="CP6" s="3">
        <v>6000</v>
      </c>
      <c r="CQ6" s="3">
        <f t="shared" si="14"/>
        <v>60000</v>
      </c>
      <c r="CR6" s="3" t="s">
        <v>125</v>
      </c>
      <c r="CS6" s="3">
        <v>0</v>
      </c>
      <c r="CT6" s="3">
        <v>6000</v>
      </c>
      <c r="CU6" s="3">
        <f t="shared" si="15"/>
        <v>0</v>
      </c>
      <c r="CV6" s="3" t="s">
        <v>125</v>
      </c>
      <c r="CW6" s="3">
        <v>15</v>
      </c>
      <c r="CX6" s="3">
        <v>6000</v>
      </c>
      <c r="CY6" s="3">
        <f t="shared" si="16"/>
        <v>90000</v>
      </c>
      <c r="CZ6" s="3" t="s">
        <v>125</v>
      </c>
      <c r="DA6" s="3">
        <v>10</v>
      </c>
      <c r="DB6" s="3">
        <v>6000</v>
      </c>
      <c r="DC6" s="3">
        <f t="shared" si="17"/>
        <v>60000</v>
      </c>
      <c r="DD6" s="3" t="s">
        <v>125</v>
      </c>
      <c r="DE6" s="3">
        <v>2</v>
      </c>
      <c r="DF6" s="3">
        <v>6000</v>
      </c>
      <c r="DG6" s="3">
        <f t="shared" si="18"/>
        <v>12000</v>
      </c>
      <c r="DH6" s="3" t="s">
        <v>125</v>
      </c>
      <c r="DI6" s="3"/>
      <c r="DJ6" s="3">
        <v>6000</v>
      </c>
      <c r="DK6" s="3">
        <f t="shared" si="19"/>
        <v>0</v>
      </c>
      <c r="DL6" s="3" t="s">
        <v>125</v>
      </c>
      <c r="DM6" s="3"/>
      <c r="DN6" s="3">
        <v>6000</v>
      </c>
      <c r="DO6" s="3">
        <f t="shared" si="20"/>
        <v>0</v>
      </c>
      <c r="DP6" s="3" t="s">
        <v>125</v>
      </c>
      <c r="DQ6" s="3"/>
      <c r="DR6" s="3">
        <v>6000</v>
      </c>
      <c r="DS6" s="3">
        <f t="shared" si="21"/>
        <v>0</v>
      </c>
      <c r="DT6" s="6">
        <f t="shared" si="22"/>
        <v>222000</v>
      </c>
      <c r="DU6" s="3" t="s">
        <v>20</v>
      </c>
      <c r="DV6" s="3">
        <f t="shared" ref="DV6:DV62" si="46">R6</f>
        <v>20</v>
      </c>
      <c r="DW6" s="3">
        <f t="shared" ref="DW6:DW62" si="47">T6</f>
        <v>5000</v>
      </c>
      <c r="DX6" s="3">
        <f t="shared" si="23"/>
        <v>100000</v>
      </c>
      <c r="DY6" s="3" t="s">
        <v>127</v>
      </c>
      <c r="DZ6" s="3">
        <f t="shared" ref="DZ6:DZ62" si="48">AD6</f>
        <v>15</v>
      </c>
      <c r="EA6" s="3">
        <v>50000</v>
      </c>
      <c r="EB6" s="3">
        <f t="shared" si="24"/>
        <v>750000</v>
      </c>
      <c r="EC6" s="3" t="s">
        <v>127</v>
      </c>
      <c r="ED6" s="3">
        <f t="shared" ref="ED6:ED62" si="49">AE6</f>
        <v>0</v>
      </c>
      <c r="EE6" s="3">
        <v>80000</v>
      </c>
      <c r="EF6" s="3">
        <f t="shared" si="25"/>
        <v>0</v>
      </c>
      <c r="EG6" s="3" t="s">
        <v>126</v>
      </c>
      <c r="EH6" s="3">
        <f t="shared" ref="EH6:EH62" si="50">AK6</f>
        <v>275</v>
      </c>
      <c r="EI6" s="3">
        <v>6000</v>
      </c>
      <c r="EJ6" s="7">
        <f t="shared" si="26"/>
        <v>1650000</v>
      </c>
      <c r="EK6" s="3" t="s">
        <v>126</v>
      </c>
      <c r="EL6" s="3">
        <f t="shared" ref="EL6:EL14" si="51">AM6</f>
        <v>130</v>
      </c>
      <c r="EM6" s="3">
        <v>3000</v>
      </c>
      <c r="EN6" s="3">
        <f t="shared" si="27"/>
        <v>390000</v>
      </c>
      <c r="EO6" s="3" t="s">
        <v>126</v>
      </c>
      <c r="EP6" s="3">
        <f t="shared" ref="EP6:EP62" si="52">AI6</f>
        <v>1</v>
      </c>
      <c r="EQ6" s="3">
        <v>1000</v>
      </c>
      <c r="ER6" s="7">
        <f t="shared" ref="ER6:ER62" si="53">EP6*EQ6</f>
        <v>1000</v>
      </c>
      <c r="ES6" s="3" t="s">
        <v>124</v>
      </c>
      <c r="ET6" s="3">
        <v>2</v>
      </c>
      <c r="EU6" s="3">
        <v>60000</v>
      </c>
      <c r="EV6" s="3">
        <f t="shared" si="28"/>
        <v>120000</v>
      </c>
      <c r="EW6" s="3" t="s">
        <v>124</v>
      </c>
      <c r="EX6" s="3">
        <v>0</v>
      </c>
      <c r="EY6" s="3">
        <v>60000</v>
      </c>
      <c r="EZ6" s="3">
        <f t="shared" si="29"/>
        <v>0</v>
      </c>
      <c r="FA6" s="3" t="s">
        <v>132</v>
      </c>
      <c r="FB6" s="3"/>
      <c r="FC6" s="3">
        <v>1000</v>
      </c>
      <c r="FD6" s="3">
        <f t="shared" si="30"/>
        <v>0</v>
      </c>
      <c r="FE6" s="3" t="s">
        <v>126</v>
      </c>
      <c r="FF6" s="3">
        <f t="shared" ref="FF6:FF62" si="54">AO6</f>
        <v>0</v>
      </c>
      <c r="FG6" s="3">
        <v>6000</v>
      </c>
      <c r="FH6" s="3">
        <f t="shared" si="31"/>
        <v>0</v>
      </c>
      <c r="FI6" s="1">
        <f t="shared" si="32"/>
        <v>3011000</v>
      </c>
      <c r="FJ6" s="3" t="s">
        <v>139</v>
      </c>
      <c r="FK6" s="3">
        <v>10</v>
      </c>
      <c r="FL6" s="3">
        <v>6000</v>
      </c>
      <c r="FM6" s="3">
        <f t="shared" si="33"/>
        <v>60000</v>
      </c>
      <c r="FN6" s="3" t="s">
        <v>139</v>
      </c>
      <c r="FO6" s="3"/>
      <c r="FP6" s="3">
        <v>6000</v>
      </c>
      <c r="FQ6" s="3">
        <f t="shared" ref="FQ6:FQ62" si="55">FO6*FP6</f>
        <v>0</v>
      </c>
      <c r="FR6" s="3" t="s">
        <v>139</v>
      </c>
      <c r="FS6" s="3">
        <v>10</v>
      </c>
      <c r="FT6" s="3">
        <v>6000</v>
      </c>
      <c r="FU6" s="3">
        <f t="shared" si="34"/>
        <v>60000</v>
      </c>
      <c r="FV6" s="3" t="s">
        <v>139</v>
      </c>
      <c r="FW6" s="3">
        <v>4</v>
      </c>
      <c r="FX6" s="3">
        <v>8000</v>
      </c>
      <c r="FY6" s="3">
        <f t="shared" si="35"/>
        <v>32000</v>
      </c>
      <c r="FZ6" s="3" t="s">
        <v>139</v>
      </c>
      <c r="GA6" s="3">
        <v>2</v>
      </c>
      <c r="GB6" s="3">
        <v>8000</v>
      </c>
      <c r="GC6" s="3">
        <f t="shared" si="36"/>
        <v>16000</v>
      </c>
      <c r="GD6" s="3" t="s">
        <v>139</v>
      </c>
      <c r="GE6" s="3">
        <v>10</v>
      </c>
      <c r="GF6" s="3">
        <v>10000</v>
      </c>
      <c r="GG6" s="3">
        <f t="shared" si="37"/>
        <v>100000</v>
      </c>
      <c r="GH6" s="3" t="s">
        <v>139</v>
      </c>
      <c r="GI6" s="3"/>
      <c r="GJ6" s="3"/>
      <c r="GK6" s="3">
        <f t="shared" si="38"/>
        <v>0</v>
      </c>
      <c r="GL6" s="92">
        <f t="shared" si="39"/>
        <v>268000</v>
      </c>
      <c r="GM6" s="8">
        <f t="shared" si="40"/>
        <v>3741000</v>
      </c>
      <c r="GN6" s="8">
        <f t="shared" si="41"/>
        <v>5400</v>
      </c>
      <c r="GO6" s="97">
        <v>2000</v>
      </c>
      <c r="GP6" s="8">
        <f t="shared" ref="GP6:GP62" si="56">GN6*GO6</f>
        <v>10800000</v>
      </c>
      <c r="GQ6" s="8">
        <f t="shared" si="42"/>
        <v>13200000</v>
      </c>
      <c r="GR6" s="8">
        <f t="shared" si="43"/>
        <v>7059000</v>
      </c>
      <c r="GS6" s="8">
        <f t="shared" si="44"/>
        <v>9459000</v>
      </c>
      <c r="GT6" s="3" t="s">
        <v>1723</v>
      </c>
      <c r="GU6" s="45" t="s">
        <v>1722</v>
      </c>
    </row>
    <row r="7" spans="1:203" ht="158.25" customHeight="1">
      <c r="A7" s="44">
        <v>3</v>
      </c>
      <c r="B7" s="92" t="s">
        <v>77</v>
      </c>
      <c r="C7" s="2" t="s">
        <v>15</v>
      </c>
      <c r="D7" s="2" t="s">
        <v>80</v>
      </c>
      <c r="E7" s="3" t="s">
        <v>869</v>
      </c>
      <c r="F7" s="3" t="s">
        <v>706</v>
      </c>
      <c r="G7" s="2" t="s">
        <v>677</v>
      </c>
      <c r="H7" s="2" t="s">
        <v>45</v>
      </c>
      <c r="I7" s="3" t="s">
        <v>698</v>
      </c>
      <c r="J7" s="3" t="s">
        <v>121</v>
      </c>
      <c r="K7" s="3" t="s">
        <v>108</v>
      </c>
      <c r="L7" s="3" t="s">
        <v>109</v>
      </c>
      <c r="M7" s="2" t="s">
        <v>78</v>
      </c>
      <c r="N7" s="3" t="s">
        <v>112</v>
      </c>
      <c r="O7" s="3" t="s">
        <v>114</v>
      </c>
      <c r="P7" s="3" t="s">
        <v>363</v>
      </c>
      <c r="Q7" s="4" t="s">
        <v>128</v>
      </c>
      <c r="R7" s="4">
        <v>20</v>
      </c>
      <c r="S7" s="4">
        <v>25</v>
      </c>
      <c r="T7" s="4">
        <v>5000</v>
      </c>
      <c r="U7" s="3">
        <v>105</v>
      </c>
      <c r="V7" s="3">
        <v>120</v>
      </c>
      <c r="W7" s="3" t="s">
        <v>117</v>
      </c>
      <c r="X7" s="3">
        <v>4.7</v>
      </c>
      <c r="Y7" s="3">
        <v>6</v>
      </c>
      <c r="Z7" s="2" t="s">
        <v>364</v>
      </c>
      <c r="AA7" s="2" t="s">
        <v>365</v>
      </c>
      <c r="AB7" s="3" t="s">
        <v>113</v>
      </c>
      <c r="AC7" s="3">
        <v>50000</v>
      </c>
      <c r="AD7" s="4">
        <v>15</v>
      </c>
      <c r="AE7" s="3">
        <v>0</v>
      </c>
      <c r="AF7" s="3">
        <v>80000</v>
      </c>
      <c r="AG7" s="3">
        <f t="shared" si="45"/>
        <v>750000</v>
      </c>
      <c r="AH7" s="2" t="s">
        <v>366</v>
      </c>
      <c r="AI7" s="2">
        <v>1</v>
      </c>
      <c r="AJ7" s="2">
        <v>1000</v>
      </c>
      <c r="AK7" s="2">
        <v>275</v>
      </c>
      <c r="AL7" s="2">
        <f>6000</f>
        <v>6000</v>
      </c>
      <c r="AM7" s="2">
        <v>130</v>
      </c>
      <c r="AN7" s="2">
        <v>3000</v>
      </c>
      <c r="AO7" s="2"/>
      <c r="AP7" s="2"/>
      <c r="AQ7" s="2">
        <f t="shared" si="0"/>
        <v>2041000</v>
      </c>
      <c r="AR7" s="3" t="s">
        <v>367</v>
      </c>
      <c r="AS7" s="3" t="s">
        <v>368</v>
      </c>
      <c r="AT7" s="3" t="s">
        <v>125</v>
      </c>
      <c r="AU7" s="3">
        <v>0</v>
      </c>
      <c r="AV7" s="3">
        <v>6000</v>
      </c>
      <c r="AW7" s="3">
        <f t="shared" si="1"/>
        <v>0</v>
      </c>
      <c r="AX7" s="3" t="s">
        <v>125</v>
      </c>
      <c r="AY7" s="3">
        <v>0</v>
      </c>
      <c r="AZ7" s="3">
        <v>6000</v>
      </c>
      <c r="BA7" s="3">
        <f t="shared" si="2"/>
        <v>0</v>
      </c>
      <c r="BB7" s="3" t="s">
        <v>125</v>
      </c>
      <c r="BC7" s="3">
        <v>0</v>
      </c>
      <c r="BD7" s="3">
        <v>6000</v>
      </c>
      <c r="BE7" s="3">
        <f t="shared" si="3"/>
        <v>0</v>
      </c>
      <c r="BF7" s="3" t="s">
        <v>125</v>
      </c>
      <c r="BG7" s="3">
        <v>0</v>
      </c>
      <c r="BH7" s="3">
        <v>6000</v>
      </c>
      <c r="BI7" s="3">
        <f t="shared" si="4"/>
        <v>0</v>
      </c>
      <c r="BJ7" s="3" t="s">
        <v>126</v>
      </c>
      <c r="BK7" s="3">
        <v>1</v>
      </c>
      <c r="BL7" s="3"/>
      <c r="BM7" s="3">
        <f t="shared" si="5"/>
        <v>0</v>
      </c>
      <c r="BN7" s="3" t="s">
        <v>125</v>
      </c>
      <c r="BO7" s="3">
        <v>1</v>
      </c>
      <c r="BP7" s="3"/>
      <c r="BQ7" s="3">
        <f t="shared" si="6"/>
        <v>0</v>
      </c>
      <c r="BR7" s="3" t="s">
        <v>125</v>
      </c>
      <c r="BS7" s="3">
        <v>1</v>
      </c>
      <c r="BT7" s="3"/>
      <c r="BU7" s="3">
        <f t="shared" si="7"/>
        <v>0</v>
      </c>
      <c r="BV7" s="3" t="s">
        <v>125</v>
      </c>
      <c r="BW7" s="3">
        <v>1</v>
      </c>
      <c r="BX7" s="3"/>
      <c r="BY7" s="3">
        <f t="shared" si="8"/>
        <v>0</v>
      </c>
      <c r="BZ7" s="92">
        <f t="shared" si="9"/>
        <v>0</v>
      </c>
      <c r="CA7" s="3" t="s">
        <v>125</v>
      </c>
      <c r="CB7" s="3">
        <v>5</v>
      </c>
      <c r="CC7" s="3">
        <v>8000</v>
      </c>
      <c r="CD7" s="3">
        <f t="shared" si="10"/>
        <v>40000</v>
      </c>
      <c r="CE7" s="3" t="s">
        <v>125</v>
      </c>
      <c r="CF7" s="3">
        <v>1</v>
      </c>
      <c r="CG7" s="3">
        <v>200000</v>
      </c>
      <c r="CH7" s="3">
        <f t="shared" si="11"/>
        <v>200000</v>
      </c>
      <c r="CI7" s="3" t="s">
        <v>139</v>
      </c>
      <c r="CJ7" s="3">
        <v>1</v>
      </c>
      <c r="CK7" s="3"/>
      <c r="CL7" s="3">
        <f t="shared" si="12"/>
        <v>0</v>
      </c>
      <c r="CM7" s="5">
        <f t="shared" si="13"/>
        <v>240000</v>
      </c>
      <c r="CN7" s="3" t="s">
        <v>125</v>
      </c>
      <c r="CO7" s="3">
        <v>10</v>
      </c>
      <c r="CP7" s="3">
        <v>6000</v>
      </c>
      <c r="CQ7" s="3">
        <f t="shared" si="14"/>
        <v>60000</v>
      </c>
      <c r="CR7" s="3" t="s">
        <v>125</v>
      </c>
      <c r="CS7" s="3">
        <v>0</v>
      </c>
      <c r="CT7" s="3">
        <v>6000</v>
      </c>
      <c r="CU7" s="3">
        <f t="shared" si="15"/>
        <v>0</v>
      </c>
      <c r="CV7" s="3" t="s">
        <v>125</v>
      </c>
      <c r="CW7" s="3">
        <v>15</v>
      </c>
      <c r="CX7" s="3">
        <v>6000</v>
      </c>
      <c r="CY7" s="3">
        <f t="shared" si="16"/>
        <v>90000</v>
      </c>
      <c r="CZ7" s="3" t="s">
        <v>125</v>
      </c>
      <c r="DA7" s="3">
        <v>10</v>
      </c>
      <c r="DB7" s="3">
        <v>6000</v>
      </c>
      <c r="DC7" s="3">
        <f t="shared" si="17"/>
        <v>60000</v>
      </c>
      <c r="DD7" s="3" t="s">
        <v>125</v>
      </c>
      <c r="DE7" s="3">
        <v>2</v>
      </c>
      <c r="DF7" s="3">
        <v>6000</v>
      </c>
      <c r="DG7" s="3">
        <f t="shared" si="18"/>
        <v>12000</v>
      </c>
      <c r="DH7" s="3" t="s">
        <v>125</v>
      </c>
      <c r="DI7" s="3"/>
      <c r="DJ7" s="3">
        <v>6000</v>
      </c>
      <c r="DK7" s="3">
        <f t="shared" si="19"/>
        <v>0</v>
      </c>
      <c r="DL7" s="3" t="s">
        <v>125</v>
      </c>
      <c r="DM7" s="3"/>
      <c r="DN7" s="3">
        <v>6000</v>
      </c>
      <c r="DO7" s="3">
        <f t="shared" si="20"/>
        <v>0</v>
      </c>
      <c r="DP7" s="3" t="s">
        <v>125</v>
      </c>
      <c r="DQ7" s="3"/>
      <c r="DR7" s="3">
        <v>6000</v>
      </c>
      <c r="DS7" s="3">
        <f t="shared" si="21"/>
        <v>0</v>
      </c>
      <c r="DT7" s="6">
        <f t="shared" si="22"/>
        <v>222000</v>
      </c>
      <c r="DU7" s="3" t="s">
        <v>20</v>
      </c>
      <c r="DV7" s="3">
        <f t="shared" si="46"/>
        <v>20</v>
      </c>
      <c r="DW7" s="3">
        <f t="shared" si="47"/>
        <v>5000</v>
      </c>
      <c r="DX7" s="3">
        <f t="shared" si="23"/>
        <v>100000</v>
      </c>
      <c r="DY7" s="3" t="s">
        <v>127</v>
      </c>
      <c r="DZ7" s="3">
        <f t="shared" si="48"/>
        <v>15</v>
      </c>
      <c r="EA7" s="3">
        <v>50000</v>
      </c>
      <c r="EB7" s="3">
        <f t="shared" si="24"/>
        <v>750000</v>
      </c>
      <c r="EC7" s="3" t="s">
        <v>127</v>
      </c>
      <c r="ED7" s="3">
        <f t="shared" si="49"/>
        <v>0</v>
      </c>
      <c r="EE7" s="3">
        <v>80000</v>
      </c>
      <c r="EF7" s="3">
        <f t="shared" si="25"/>
        <v>0</v>
      </c>
      <c r="EG7" s="3" t="s">
        <v>126</v>
      </c>
      <c r="EH7" s="3">
        <f t="shared" si="50"/>
        <v>275</v>
      </c>
      <c r="EI7" s="3">
        <v>6000</v>
      </c>
      <c r="EJ7" s="7">
        <f t="shared" si="26"/>
        <v>1650000</v>
      </c>
      <c r="EK7" s="3" t="s">
        <v>126</v>
      </c>
      <c r="EL7" s="3">
        <f t="shared" si="51"/>
        <v>130</v>
      </c>
      <c r="EM7" s="3">
        <v>3000</v>
      </c>
      <c r="EN7" s="3">
        <f t="shared" si="27"/>
        <v>390000</v>
      </c>
      <c r="EO7" s="3" t="s">
        <v>126</v>
      </c>
      <c r="EP7" s="3">
        <f t="shared" si="52"/>
        <v>1</v>
      </c>
      <c r="EQ7" s="3">
        <v>1000</v>
      </c>
      <c r="ER7" s="7">
        <f t="shared" si="53"/>
        <v>1000</v>
      </c>
      <c r="ES7" s="3" t="s">
        <v>124</v>
      </c>
      <c r="ET7" s="3">
        <v>2</v>
      </c>
      <c r="EU7" s="3">
        <v>60000</v>
      </c>
      <c r="EV7" s="3">
        <f t="shared" si="28"/>
        <v>120000</v>
      </c>
      <c r="EW7" s="3" t="s">
        <v>124</v>
      </c>
      <c r="EX7" s="3">
        <v>0</v>
      </c>
      <c r="EY7" s="3">
        <v>60000</v>
      </c>
      <c r="EZ7" s="3">
        <f t="shared" si="29"/>
        <v>0</v>
      </c>
      <c r="FA7" s="3" t="s">
        <v>132</v>
      </c>
      <c r="FB7" s="3"/>
      <c r="FC7" s="3">
        <v>1000</v>
      </c>
      <c r="FD7" s="3">
        <f t="shared" si="30"/>
        <v>0</v>
      </c>
      <c r="FE7" s="3" t="s">
        <v>126</v>
      </c>
      <c r="FF7" s="3">
        <f t="shared" si="54"/>
        <v>0</v>
      </c>
      <c r="FG7" s="3">
        <v>6000</v>
      </c>
      <c r="FH7" s="3">
        <f t="shared" si="31"/>
        <v>0</v>
      </c>
      <c r="FI7" s="1">
        <f t="shared" si="32"/>
        <v>3011000</v>
      </c>
      <c r="FJ7" s="3" t="s">
        <v>139</v>
      </c>
      <c r="FK7" s="3">
        <v>10</v>
      </c>
      <c r="FL7" s="3">
        <v>6000</v>
      </c>
      <c r="FM7" s="3">
        <f t="shared" si="33"/>
        <v>60000</v>
      </c>
      <c r="FN7" s="3" t="s">
        <v>139</v>
      </c>
      <c r="FO7" s="3"/>
      <c r="FP7" s="3">
        <v>6000</v>
      </c>
      <c r="FQ7" s="3">
        <f t="shared" si="55"/>
        <v>0</v>
      </c>
      <c r="FR7" s="3" t="s">
        <v>139</v>
      </c>
      <c r="FS7" s="3">
        <v>10</v>
      </c>
      <c r="FT7" s="3">
        <v>6000</v>
      </c>
      <c r="FU7" s="3">
        <f t="shared" si="34"/>
        <v>60000</v>
      </c>
      <c r="FV7" s="3" t="s">
        <v>139</v>
      </c>
      <c r="FW7" s="3">
        <v>4</v>
      </c>
      <c r="FX7" s="3">
        <v>8000</v>
      </c>
      <c r="FY7" s="3">
        <f t="shared" si="35"/>
        <v>32000</v>
      </c>
      <c r="FZ7" s="3" t="s">
        <v>139</v>
      </c>
      <c r="GA7" s="3">
        <v>2</v>
      </c>
      <c r="GB7" s="3">
        <v>8000</v>
      </c>
      <c r="GC7" s="3">
        <f t="shared" si="36"/>
        <v>16000</v>
      </c>
      <c r="GD7" s="3" t="s">
        <v>139</v>
      </c>
      <c r="GE7" s="3">
        <v>10</v>
      </c>
      <c r="GF7" s="3">
        <v>10000</v>
      </c>
      <c r="GG7" s="3">
        <f t="shared" si="37"/>
        <v>100000</v>
      </c>
      <c r="GH7" s="3" t="s">
        <v>139</v>
      </c>
      <c r="GI7" s="3"/>
      <c r="GJ7" s="3"/>
      <c r="GK7" s="3">
        <f t="shared" si="38"/>
        <v>0</v>
      </c>
      <c r="GL7" s="92">
        <f t="shared" si="39"/>
        <v>268000</v>
      </c>
      <c r="GM7" s="8">
        <f t="shared" si="40"/>
        <v>3741000</v>
      </c>
      <c r="GN7" s="8">
        <f t="shared" si="41"/>
        <v>4700</v>
      </c>
      <c r="GO7" s="97">
        <v>2000</v>
      </c>
      <c r="GP7" s="8">
        <f t="shared" si="56"/>
        <v>9400000</v>
      </c>
      <c r="GQ7" s="8">
        <f t="shared" si="42"/>
        <v>12000000</v>
      </c>
      <c r="GR7" s="8">
        <f t="shared" si="43"/>
        <v>5659000</v>
      </c>
      <c r="GS7" s="8">
        <f t="shared" si="44"/>
        <v>8259000</v>
      </c>
      <c r="GT7" s="3" t="s">
        <v>1724</v>
      </c>
      <c r="GU7" s="45" t="s">
        <v>1722</v>
      </c>
    </row>
    <row r="8" spans="1:203" ht="158.25" customHeight="1">
      <c r="A8" s="44">
        <v>4</v>
      </c>
      <c r="B8" s="92" t="s">
        <v>77</v>
      </c>
      <c r="C8" s="2" t="s">
        <v>15</v>
      </c>
      <c r="D8" s="2" t="s">
        <v>79</v>
      </c>
      <c r="E8" s="3" t="s">
        <v>871</v>
      </c>
      <c r="F8" s="3" t="s">
        <v>707</v>
      </c>
      <c r="G8" s="2" t="s">
        <v>678</v>
      </c>
      <c r="H8" s="2" t="s">
        <v>45</v>
      </c>
      <c r="I8" s="3" t="s">
        <v>700</v>
      </c>
      <c r="J8" s="3" t="s">
        <v>120</v>
      </c>
      <c r="K8" s="3" t="s">
        <v>108</v>
      </c>
      <c r="L8" s="3" t="s">
        <v>110</v>
      </c>
      <c r="M8" s="2" t="s">
        <v>78</v>
      </c>
      <c r="N8" s="3" t="s">
        <v>112</v>
      </c>
      <c r="O8" s="3" t="s">
        <v>114</v>
      </c>
      <c r="P8" s="3" t="s">
        <v>363</v>
      </c>
      <c r="Q8" s="4" t="s">
        <v>128</v>
      </c>
      <c r="R8" s="4">
        <v>20</v>
      </c>
      <c r="S8" s="4">
        <v>25</v>
      </c>
      <c r="T8" s="4">
        <v>5000</v>
      </c>
      <c r="U8" s="3">
        <v>90</v>
      </c>
      <c r="V8" s="3">
        <v>100</v>
      </c>
      <c r="W8" s="3" t="s">
        <v>115</v>
      </c>
      <c r="X8" s="3">
        <v>4.3</v>
      </c>
      <c r="Y8" s="3">
        <v>6</v>
      </c>
      <c r="Z8" s="2" t="s">
        <v>364</v>
      </c>
      <c r="AA8" s="2" t="s">
        <v>365</v>
      </c>
      <c r="AB8" s="3" t="s">
        <v>113</v>
      </c>
      <c r="AC8" s="3">
        <v>50000</v>
      </c>
      <c r="AD8" s="4">
        <v>15</v>
      </c>
      <c r="AE8" s="3">
        <v>0</v>
      </c>
      <c r="AF8" s="3">
        <v>80000</v>
      </c>
      <c r="AG8" s="3">
        <f t="shared" si="45"/>
        <v>750000</v>
      </c>
      <c r="AH8" s="2" t="s">
        <v>366</v>
      </c>
      <c r="AI8" s="2">
        <v>1</v>
      </c>
      <c r="AJ8" s="2">
        <v>1000</v>
      </c>
      <c r="AK8" s="2">
        <v>275</v>
      </c>
      <c r="AL8" s="2">
        <f>6000</f>
        <v>6000</v>
      </c>
      <c r="AM8" s="2">
        <v>130</v>
      </c>
      <c r="AN8" s="2">
        <v>3000</v>
      </c>
      <c r="AO8" s="2"/>
      <c r="AP8" s="2"/>
      <c r="AQ8" s="2">
        <f t="shared" si="0"/>
        <v>2041000</v>
      </c>
      <c r="AR8" s="3" t="s">
        <v>367</v>
      </c>
      <c r="AS8" s="3" t="s">
        <v>368</v>
      </c>
      <c r="AT8" s="3" t="s">
        <v>125</v>
      </c>
      <c r="AU8" s="3">
        <v>0</v>
      </c>
      <c r="AV8" s="3">
        <v>6000</v>
      </c>
      <c r="AW8" s="3">
        <f t="shared" si="1"/>
        <v>0</v>
      </c>
      <c r="AX8" s="3" t="s">
        <v>125</v>
      </c>
      <c r="AY8" s="3">
        <v>0</v>
      </c>
      <c r="AZ8" s="3">
        <v>6000</v>
      </c>
      <c r="BA8" s="3">
        <f t="shared" si="2"/>
        <v>0</v>
      </c>
      <c r="BB8" s="3" t="s">
        <v>125</v>
      </c>
      <c r="BC8" s="3">
        <v>0</v>
      </c>
      <c r="BD8" s="3">
        <v>6000</v>
      </c>
      <c r="BE8" s="3">
        <f t="shared" si="3"/>
        <v>0</v>
      </c>
      <c r="BF8" s="3" t="s">
        <v>125</v>
      </c>
      <c r="BG8" s="3">
        <v>0</v>
      </c>
      <c r="BH8" s="3">
        <v>6000</v>
      </c>
      <c r="BI8" s="3">
        <f t="shared" si="4"/>
        <v>0</v>
      </c>
      <c r="BJ8" s="3" t="s">
        <v>126</v>
      </c>
      <c r="BK8" s="3">
        <v>1</v>
      </c>
      <c r="BL8" s="3"/>
      <c r="BM8" s="3">
        <f t="shared" si="5"/>
        <v>0</v>
      </c>
      <c r="BN8" s="3" t="s">
        <v>125</v>
      </c>
      <c r="BO8" s="3">
        <v>1</v>
      </c>
      <c r="BP8" s="3"/>
      <c r="BQ8" s="3">
        <f t="shared" si="6"/>
        <v>0</v>
      </c>
      <c r="BR8" s="3" t="s">
        <v>125</v>
      </c>
      <c r="BS8" s="3">
        <v>1</v>
      </c>
      <c r="BT8" s="3"/>
      <c r="BU8" s="3">
        <f t="shared" si="7"/>
        <v>0</v>
      </c>
      <c r="BV8" s="3" t="s">
        <v>125</v>
      </c>
      <c r="BW8" s="3">
        <v>1</v>
      </c>
      <c r="BX8" s="3"/>
      <c r="BY8" s="3">
        <f t="shared" si="8"/>
        <v>0</v>
      </c>
      <c r="BZ8" s="92">
        <f t="shared" si="9"/>
        <v>0</v>
      </c>
      <c r="CA8" s="3" t="s">
        <v>125</v>
      </c>
      <c r="CB8" s="3">
        <v>5</v>
      </c>
      <c r="CC8" s="3">
        <v>8000</v>
      </c>
      <c r="CD8" s="3">
        <f t="shared" si="10"/>
        <v>40000</v>
      </c>
      <c r="CE8" s="3" t="s">
        <v>125</v>
      </c>
      <c r="CF8" s="3">
        <v>1</v>
      </c>
      <c r="CG8" s="3">
        <v>200000</v>
      </c>
      <c r="CH8" s="3">
        <f t="shared" si="11"/>
        <v>200000</v>
      </c>
      <c r="CI8" s="3" t="s">
        <v>139</v>
      </c>
      <c r="CJ8" s="3">
        <v>1</v>
      </c>
      <c r="CK8" s="3"/>
      <c r="CL8" s="3">
        <f t="shared" si="12"/>
        <v>0</v>
      </c>
      <c r="CM8" s="5">
        <f t="shared" si="13"/>
        <v>240000</v>
      </c>
      <c r="CN8" s="3" t="s">
        <v>125</v>
      </c>
      <c r="CO8" s="3">
        <v>10</v>
      </c>
      <c r="CP8" s="3">
        <v>6000</v>
      </c>
      <c r="CQ8" s="3">
        <f t="shared" si="14"/>
        <v>60000</v>
      </c>
      <c r="CR8" s="3" t="s">
        <v>125</v>
      </c>
      <c r="CS8" s="3">
        <v>0</v>
      </c>
      <c r="CT8" s="3">
        <v>6000</v>
      </c>
      <c r="CU8" s="3">
        <f t="shared" si="15"/>
        <v>0</v>
      </c>
      <c r="CV8" s="3" t="s">
        <v>125</v>
      </c>
      <c r="CW8" s="3">
        <v>15</v>
      </c>
      <c r="CX8" s="3">
        <v>6000</v>
      </c>
      <c r="CY8" s="3">
        <f t="shared" si="16"/>
        <v>90000</v>
      </c>
      <c r="CZ8" s="3" t="s">
        <v>125</v>
      </c>
      <c r="DA8" s="3">
        <v>10</v>
      </c>
      <c r="DB8" s="3">
        <v>6000</v>
      </c>
      <c r="DC8" s="3">
        <f t="shared" si="17"/>
        <v>60000</v>
      </c>
      <c r="DD8" s="3" t="s">
        <v>125</v>
      </c>
      <c r="DE8" s="3">
        <v>2</v>
      </c>
      <c r="DF8" s="3">
        <v>6000</v>
      </c>
      <c r="DG8" s="3">
        <f t="shared" si="18"/>
        <v>12000</v>
      </c>
      <c r="DH8" s="3" t="s">
        <v>125</v>
      </c>
      <c r="DI8" s="3"/>
      <c r="DJ8" s="3">
        <v>6000</v>
      </c>
      <c r="DK8" s="3">
        <f t="shared" si="19"/>
        <v>0</v>
      </c>
      <c r="DL8" s="3" t="s">
        <v>125</v>
      </c>
      <c r="DM8" s="3"/>
      <c r="DN8" s="3">
        <v>6000</v>
      </c>
      <c r="DO8" s="3">
        <f t="shared" si="20"/>
        <v>0</v>
      </c>
      <c r="DP8" s="3" t="s">
        <v>125</v>
      </c>
      <c r="DQ8" s="3"/>
      <c r="DR8" s="3">
        <v>6000</v>
      </c>
      <c r="DS8" s="3">
        <f t="shared" si="21"/>
        <v>0</v>
      </c>
      <c r="DT8" s="6">
        <f t="shared" si="22"/>
        <v>222000</v>
      </c>
      <c r="DU8" s="3" t="s">
        <v>20</v>
      </c>
      <c r="DV8" s="3">
        <f t="shared" si="46"/>
        <v>20</v>
      </c>
      <c r="DW8" s="3">
        <f t="shared" si="47"/>
        <v>5000</v>
      </c>
      <c r="DX8" s="3">
        <f t="shared" si="23"/>
        <v>100000</v>
      </c>
      <c r="DY8" s="3" t="s">
        <v>127</v>
      </c>
      <c r="DZ8" s="3">
        <f t="shared" si="48"/>
        <v>15</v>
      </c>
      <c r="EA8" s="3">
        <v>50000</v>
      </c>
      <c r="EB8" s="3">
        <f t="shared" si="24"/>
        <v>750000</v>
      </c>
      <c r="EC8" s="3" t="s">
        <v>127</v>
      </c>
      <c r="ED8" s="3">
        <f t="shared" si="49"/>
        <v>0</v>
      </c>
      <c r="EE8" s="3">
        <v>80000</v>
      </c>
      <c r="EF8" s="3">
        <f t="shared" si="25"/>
        <v>0</v>
      </c>
      <c r="EG8" s="3" t="s">
        <v>126</v>
      </c>
      <c r="EH8" s="3">
        <f t="shared" si="50"/>
        <v>275</v>
      </c>
      <c r="EI8" s="3">
        <v>6000</v>
      </c>
      <c r="EJ8" s="7">
        <f t="shared" si="26"/>
        <v>1650000</v>
      </c>
      <c r="EK8" s="3" t="s">
        <v>126</v>
      </c>
      <c r="EL8" s="3">
        <f t="shared" si="51"/>
        <v>130</v>
      </c>
      <c r="EM8" s="3">
        <v>3000</v>
      </c>
      <c r="EN8" s="3">
        <f t="shared" si="27"/>
        <v>390000</v>
      </c>
      <c r="EO8" s="3" t="s">
        <v>126</v>
      </c>
      <c r="EP8" s="3">
        <f t="shared" si="52"/>
        <v>1</v>
      </c>
      <c r="EQ8" s="3">
        <v>1000</v>
      </c>
      <c r="ER8" s="7">
        <f t="shared" si="53"/>
        <v>1000</v>
      </c>
      <c r="ES8" s="3" t="s">
        <v>124</v>
      </c>
      <c r="ET8" s="3">
        <v>2</v>
      </c>
      <c r="EU8" s="3">
        <v>60000</v>
      </c>
      <c r="EV8" s="3">
        <f t="shared" si="28"/>
        <v>120000</v>
      </c>
      <c r="EW8" s="3" t="s">
        <v>124</v>
      </c>
      <c r="EX8" s="3">
        <v>0</v>
      </c>
      <c r="EY8" s="3">
        <v>60000</v>
      </c>
      <c r="EZ8" s="3">
        <f t="shared" si="29"/>
        <v>0</v>
      </c>
      <c r="FA8" s="3" t="s">
        <v>132</v>
      </c>
      <c r="FB8" s="3"/>
      <c r="FC8" s="3">
        <v>1000</v>
      </c>
      <c r="FD8" s="3">
        <f t="shared" si="30"/>
        <v>0</v>
      </c>
      <c r="FE8" s="3" t="s">
        <v>126</v>
      </c>
      <c r="FF8" s="3">
        <f t="shared" si="54"/>
        <v>0</v>
      </c>
      <c r="FG8" s="3">
        <v>6000</v>
      </c>
      <c r="FH8" s="3">
        <f t="shared" si="31"/>
        <v>0</v>
      </c>
      <c r="FI8" s="1">
        <f t="shared" si="32"/>
        <v>3011000</v>
      </c>
      <c r="FJ8" s="3" t="s">
        <v>139</v>
      </c>
      <c r="FK8" s="3">
        <v>10</v>
      </c>
      <c r="FL8" s="3">
        <v>6000</v>
      </c>
      <c r="FM8" s="3">
        <f t="shared" si="33"/>
        <v>60000</v>
      </c>
      <c r="FN8" s="3" t="s">
        <v>139</v>
      </c>
      <c r="FO8" s="3"/>
      <c r="FP8" s="3">
        <v>6000</v>
      </c>
      <c r="FQ8" s="3">
        <f t="shared" si="55"/>
        <v>0</v>
      </c>
      <c r="FR8" s="3" t="s">
        <v>139</v>
      </c>
      <c r="FS8" s="3">
        <v>10</v>
      </c>
      <c r="FT8" s="3">
        <v>6000</v>
      </c>
      <c r="FU8" s="3">
        <f t="shared" si="34"/>
        <v>60000</v>
      </c>
      <c r="FV8" s="3" t="s">
        <v>139</v>
      </c>
      <c r="FW8" s="3">
        <v>4</v>
      </c>
      <c r="FX8" s="3">
        <v>8000</v>
      </c>
      <c r="FY8" s="3">
        <f t="shared" si="35"/>
        <v>32000</v>
      </c>
      <c r="FZ8" s="3" t="s">
        <v>139</v>
      </c>
      <c r="GA8" s="3">
        <v>2</v>
      </c>
      <c r="GB8" s="3">
        <v>8000</v>
      </c>
      <c r="GC8" s="3">
        <f t="shared" si="36"/>
        <v>16000</v>
      </c>
      <c r="GD8" s="3" t="s">
        <v>139</v>
      </c>
      <c r="GE8" s="3">
        <v>10</v>
      </c>
      <c r="GF8" s="3">
        <v>10000</v>
      </c>
      <c r="GG8" s="3">
        <f t="shared" si="37"/>
        <v>100000</v>
      </c>
      <c r="GH8" s="3" t="s">
        <v>139</v>
      </c>
      <c r="GI8" s="3"/>
      <c r="GJ8" s="3"/>
      <c r="GK8" s="3">
        <f t="shared" si="38"/>
        <v>0</v>
      </c>
      <c r="GL8" s="92">
        <f t="shared" si="39"/>
        <v>268000</v>
      </c>
      <c r="GM8" s="8">
        <f t="shared" si="40"/>
        <v>3741000</v>
      </c>
      <c r="GN8" s="8">
        <f t="shared" si="41"/>
        <v>4300</v>
      </c>
      <c r="GO8" s="97">
        <v>2000</v>
      </c>
      <c r="GP8" s="8">
        <f t="shared" si="56"/>
        <v>8600000</v>
      </c>
      <c r="GQ8" s="8">
        <f t="shared" si="42"/>
        <v>12000000</v>
      </c>
      <c r="GR8" s="8">
        <f t="shared" si="43"/>
        <v>4859000</v>
      </c>
      <c r="GS8" s="8">
        <f t="shared" si="44"/>
        <v>8259000</v>
      </c>
      <c r="GT8" s="3" t="s">
        <v>1724</v>
      </c>
      <c r="GU8" s="45" t="s">
        <v>1722</v>
      </c>
    </row>
    <row r="9" spans="1:203" ht="158.25" customHeight="1">
      <c r="A9" s="44">
        <v>5</v>
      </c>
      <c r="B9" s="92" t="s">
        <v>3</v>
      </c>
      <c r="C9" s="2" t="s">
        <v>15</v>
      </c>
      <c r="D9" s="2" t="s">
        <v>12</v>
      </c>
      <c r="E9" s="3" t="s">
        <v>872</v>
      </c>
      <c r="F9" s="3" t="s">
        <v>708</v>
      </c>
      <c r="G9" s="2" t="s">
        <v>679</v>
      </c>
      <c r="H9" s="2" t="s">
        <v>16</v>
      </c>
      <c r="I9" s="2" t="s">
        <v>19</v>
      </c>
      <c r="J9" s="2" t="s">
        <v>693</v>
      </c>
      <c r="K9" s="3" t="s">
        <v>119</v>
      </c>
      <c r="L9" s="3" t="s">
        <v>111</v>
      </c>
      <c r="M9" s="2" t="s">
        <v>13</v>
      </c>
      <c r="N9" s="3" t="s">
        <v>112</v>
      </c>
      <c r="O9" s="3" t="s">
        <v>114</v>
      </c>
      <c r="P9" s="3" t="s">
        <v>363</v>
      </c>
      <c r="Q9" s="4" t="s">
        <v>128</v>
      </c>
      <c r="R9" s="4">
        <v>20</v>
      </c>
      <c r="S9" s="4">
        <v>25</v>
      </c>
      <c r="T9" s="4">
        <v>5000</v>
      </c>
      <c r="U9" s="3">
        <v>120</v>
      </c>
      <c r="V9" s="3">
        <v>120</v>
      </c>
      <c r="W9" s="3" t="s">
        <v>116</v>
      </c>
      <c r="X9" s="3">
        <v>4</v>
      </c>
      <c r="Y9" s="2">
        <v>5</v>
      </c>
      <c r="Z9" s="2" t="s">
        <v>364</v>
      </c>
      <c r="AA9" s="2" t="s">
        <v>365</v>
      </c>
      <c r="AB9" s="3" t="s">
        <v>113</v>
      </c>
      <c r="AC9" s="3">
        <v>50000</v>
      </c>
      <c r="AD9" s="4">
        <v>15</v>
      </c>
      <c r="AE9" s="3">
        <v>0</v>
      </c>
      <c r="AF9" s="3">
        <v>80000</v>
      </c>
      <c r="AG9" s="3">
        <f t="shared" si="45"/>
        <v>750000</v>
      </c>
      <c r="AH9" s="2" t="s">
        <v>366</v>
      </c>
      <c r="AI9" s="2">
        <v>1</v>
      </c>
      <c r="AJ9" s="2">
        <v>1000</v>
      </c>
      <c r="AK9" s="2">
        <v>275</v>
      </c>
      <c r="AL9" s="2">
        <f>6000</f>
        <v>6000</v>
      </c>
      <c r="AM9" s="2">
        <v>130</v>
      </c>
      <c r="AN9" s="2">
        <v>3000</v>
      </c>
      <c r="AO9" s="2"/>
      <c r="AP9" s="2"/>
      <c r="AQ9" s="2">
        <f t="shared" si="0"/>
        <v>2041000</v>
      </c>
      <c r="AR9" s="3" t="s">
        <v>367</v>
      </c>
      <c r="AS9" s="3" t="s">
        <v>368</v>
      </c>
      <c r="AT9" s="3" t="s">
        <v>125</v>
      </c>
      <c r="AU9" s="3">
        <v>0</v>
      </c>
      <c r="AV9" s="3">
        <v>6000</v>
      </c>
      <c r="AW9" s="3">
        <f t="shared" si="1"/>
        <v>0</v>
      </c>
      <c r="AX9" s="3" t="s">
        <v>125</v>
      </c>
      <c r="AY9" s="3">
        <v>0</v>
      </c>
      <c r="AZ9" s="3">
        <v>6000</v>
      </c>
      <c r="BA9" s="3">
        <f t="shared" si="2"/>
        <v>0</v>
      </c>
      <c r="BB9" s="3" t="s">
        <v>125</v>
      </c>
      <c r="BC9" s="3">
        <v>0</v>
      </c>
      <c r="BD9" s="3">
        <v>6000</v>
      </c>
      <c r="BE9" s="3">
        <f t="shared" si="3"/>
        <v>0</v>
      </c>
      <c r="BF9" s="3" t="s">
        <v>125</v>
      </c>
      <c r="BG9" s="3">
        <v>0</v>
      </c>
      <c r="BH9" s="3">
        <v>6000</v>
      </c>
      <c r="BI9" s="3">
        <f t="shared" si="4"/>
        <v>0</v>
      </c>
      <c r="BJ9" s="3" t="s">
        <v>126</v>
      </c>
      <c r="BK9" s="3">
        <v>1</v>
      </c>
      <c r="BL9" s="3"/>
      <c r="BM9" s="3">
        <f t="shared" si="5"/>
        <v>0</v>
      </c>
      <c r="BN9" s="3" t="s">
        <v>125</v>
      </c>
      <c r="BO9" s="3">
        <v>1</v>
      </c>
      <c r="BP9" s="3"/>
      <c r="BQ9" s="3">
        <f t="shared" si="6"/>
        <v>0</v>
      </c>
      <c r="BR9" s="3" t="s">
        <v>125</v>
      </c>
      <c r="BS9" s="3">
        <v>1</v>
      </c>
      <c r="BT9" s="3"/>
      <c r="BU9" s="3">
        <f t="shared" si="7"/>
        <v>0</v>
      </c>
      <c r="BV9" s="3" t="s">
        <v>125</v>
      </c>
      <c r="BW9" s="3">
        <v>1</v>
      </c>
      <c r="BX9" s="3"/>
      <c r="BY9" s="3">
        <f t="shared" si="8"/>
        <v>0</v>
      </c>
      <c r="BZ9" s="92">
        <f t="shared" si="9"/>
        <v>0</v>
      </c>
      <c r="CA9" s="3" t="s">
        <v>125</v>
      </c>
      <c r="CB9" s="3">
        <v>5</v>
      </c>
      <c r="CC9" s="3">
        <v>8000</v>
      </c>
      <c r="CD9" s="3">
        <f t="shared" si="10"/>
        <v>40000</v>
      </c>
      <c r="CE9" s="3" t="s">
        <v>125</v>
      </c>
      <c r="CF9" s="3">
        <v>1</v>
      </c>
      <c r="CG9" s="3">
        <v>200000</v>
      </c>
      <c r="CH9" s="3">
        <f t="shared" si="11"/>
        <v>200000</v>
      </c>
      <c r="CI9" s="3" t="s">
        <v>139</v>
      </c>
      <c r="CJ9" s="3">
        <v>1</v>
      </c>
      <c r="CK9" s="3"/>
      <c r="CL9" s="3">
        <f t="shared" si="12"/>
        <v>0</v>
      </c>
      <c r="CM9" s="5">
        <f t="shared" si="13"/>
        <v>240000</v>
      </c>
      <c r="CN9" s="3" t="s">
        <v>125</v>
      </c>
      <c r="CO9" s="3">
        <v>10</v>
      </c>
      <c r="CP9" s="3">
        <v>6000</v>
      </c>
      <c r="CQ9" s="3">
        <f t="shared" si="14"/>
        <v>60000</v>
      </c>
      <c r="CR9" s="3" t="s">
        <v>125</v>
      </c>
      <c r="CS9" s="3">
        <v>0</v>
      </c>
      <c r="CT9" s="3">
        <v>6000</v>
      </c>
      <c r="CU9" s="3">
        <f t="shared" si="15"/>
        <v>0</v>
      </c>
      <c r="CV9" s="3" t="s">
        <v>125</v>
      </c>
      <c r="CW9" s="3">
        <v>15</v>
      </c>
      <c r="CX9" s="3">
        <v>6000</v>
      </c>
      <c r="CY9" s="3">
        <f t="shared" si="16"/>
        <v>90000</v>
      </c>
      <c r="CZ9" s="3" t="s">
        <v>125</v>
      </c>
      <c r="DA9" s="3">
        <v>10</v>
      </c>
      <c r="DB9" s="3">
        <v>6000</v>
      </c>
      <c r="DC9" s="3">
        <f t="shared" si="17"/>
        <v>60000</v>
      </c>
      <c r="DD9" s="3" t="s">
        <v>125</v>
      </c>
      <c r="DE9" s="3">
        <v>2</v>
      </c>
      <c r="DF9" s="3">
        <v>6000</v>
      </c>
      <c r="DG9" s="3">
        <f t="shared" si="18"/>
        <v>12000</v>
      </c>
      <c r="DH9" s="3" t="s">
        <v>125</v>
      </c>
      <c r="DI9" s="3"/>
      <c r="DJ9" s="3">
        <v>6000</v>
      </c>
      <c r="DK9" s="3">
        <f t="shared" si="19"/>
        <v>0</v>
      </c>
      <c r="DL9" s="3" t="s">
        <v>125</v>
      </c>
      <c r="DM9" s="3"/>
      <c r="DN9" s="3">
        <v>6000</v>
      </c>
      <c r="DO9" s="3">
        <f t="shared" si="20"/>
        <v>0</v>
      </c>
      <c r="DP9" s="3" t="s">
        <v>125</v>
      </c>
      <c r="DQ9" s="3"/>
      <c r="DR9" s="3">
        <v>6000</v>
      </c>
      <c r="DS9" s="3">
        <f t="shared" si="21"/>
        <v>0</v>
      </c>
      <c r="DT9" s="6">
        <f t="shared" si="22"/>
        <v>222000</v>
      </c>
      <c r="DU9" s="3" t="s">
        <v>20</v>
      </c>
      <c r="DV9" s="3">
        <f t="shared" si="46"/>
        <v>20</v>
      </c>
      <c r="DW9" s="3">
        <f t="shared" si="47"/>
        <v>5000</v>
      </c>
      <c r="DX9" s="3">
        <f t="shared" si="23"/>
        <v>100000</v>
      </c>
      <c r="DY9" s="3" t="s">
        <v>127</v>
      </c>
      <c r="DZ9" s="3">
        <f t="shared" si="48"/>
        <v>15</v>
      </c>
      <c r="EA9" s="3">
        <v>50000</v>
      </c>
      <c r="EB9" s="3">
        <f t="shared" si="24"/>
        <v>750000</v>
      </c>
      <c r="EC9" s="3" t="s">
        <v>127</v>
      </c>
      <c r="ED9" s="3">
        <f t="shared" si="49"/>
        <v>0</v>
      </c>
      <c r="EE9" s="3">
        <v>80000</v>
      </c>
      <c r="EF9" s="3">
        <f t="shared" si="25"/>
        <v>0</v>
      </c>
      <c r="EG9" s="3" t="s">
        <v>126</v>
      </c>
      <c r="EH9" s="3">
        <f t="shared" si="50"/>
        <v>275</v>
      </c>
      <c r="EI9" s="3">
        <v>6000</v>
      </c>
      <c r="EJ9" s="7">
        <f t="shared" si="26"/>
        <v>1650000</v>
      </c>
      <c r="EK9" s="3" t="s">
        <v>126</v>
      </c>
      <c r="EL9" s="3">
        <f t="shared" si="51"/>
        <v>130</v>
      </c>
      <c r="EM9" s="3">
        <v>3000</v>
      </c>
      <c r="EN9" s="3">
        <f t="shared" si="27"/>
        <v>390000</v>
      </c>
      <c r="EO9" s="3" t="s">
        <v>126</v>
      </c>
      <c r="EP9" s="3">
        <f t="shared" si="52"/>
        <v>1</v>
      </c>
      <c r="EQ9" s="3">
        <v>1000</v>
      </c>
      <c r="ER9" s="7">
        <f t="shared" si="53"/>
        <v>1000</v>
      </c>
      <c r="ES9" s="3" t="s">
        <v>124</v>
      </c>
      <c r="ET9" s="3">
        <v>2</v>
      </c>
      <c r="EU9" s="3">
        <v>60000</v>
      </c>
      <c r="EV9" s="3">
        <f t="shared" si="28"/>
        <v>120000</v>
      </c>
      <c r="EW9" s="3" t="s">
        <v>124</v>
      </c>
      <c r="EX9" s="3">
        <v>0</v>
      </c>
      <c r="EY9" s="3">
        <v>60000</v>
      </c>
      <c r="EZ9" s="3">
        <f t="shared" si="29"/>
        <v>0</v>
      </c>
      <c r="FA9" s="3" t="s">
        <v>132</v>
      </c>
      <c r="FB9" s="3"/>
      <c r="FC9" s="3">
        <v>1000</v>
      </c>
      <c r="FD9" s="3">
        <f t="shared" si="30"/>
        <v>0</v>
      </c>
      <c r="FE9" s="3" t="s">
        <v>126</v>
      </c>
      <c r="FF9" s="3">
        <f t="shared" si="54"/>
        <v>0</v>
      </c>
      <c r="FG9" s="3">
        <v>6000</v>
      </c>
      <c r="FH9" s="3">
        <f t="shared" si="31"/>
        <v>0</v>
      </c>
      <c r="FI9" s="1">
        <f t="shared" si="32"/>
        <v>3011000</v>
      </c>
      <c r="FJ9" s="3" t="s">
        <v>139</v>
      </c>
      <c r="FK9" s="3">
        <v>10</v>
      </c>
      <c r="FL9" s="3">
        <v>6000</v>
      </c>
      <c r="FM9" s="3">
        <f t="shared" si="33"/>
        <v>60000</v>
      </c>
      <c r="FN9" s="3" t="s">
        <v>139</v>
      </c>
      <c r="FO9" s="3"/>
      <c r="FP9" s="3">
        <v>6000</v>
      </c>
      <c r="FQ9" s="3">
        <f t="shared" si="55"/>
        <v>0</v>
      </c>
      <c r="FR9" s="3" t="s">
        <v>139</v>
      </c>
      <c r="FS9" s="3">
        <v>10</v>
      </c>
      <c r="FT9" s="3">
        <v>6000</v>
      </c>
      <c r="FU9" s="3">
        <f t="shared" si="34"/>
        <v>60000</v>
      </c>
      <c r="FV9" s="3" t="s">
        <v>139</v>
      </c>
      <c r="FW9" s="3">
        <v>4</v>
      </c>
      <c r="FX9" s="3">
        <v>8000</v>
      </c>
      <c r="FY9" s="3">
        <f t="shared" si="35"/>
        <v>32000</v>
      </c>
      <c r="FZ9" s="3" t="s">
        <v>139</v>
      </c>
      <c r="GA9" s="3">
        <v>2</v>
      </c>
      <c r="GB9" s="3">
        <v>8000</v>
      </c>
      <c r="GC9" s="3">
        <f t="shared" si="36"/>
        <v>16000</v>
      </c>
      <c r="GD9" s="3" t="s">
        <v>139</v>
      </c>
      <c r="GE9" s="3">
        <v>10</v>
      </c>
      <c r="GF9" s="3">
        <v>10000</v>
      </c>
      <c r="GG9" s="3">
        <f t="shared" si="37"/>
        <v>100000</v>
      </c>
      <c r="GH9" s="3" t="s">
        <v>139</v>
      </c>
      <c r="GI9" s="3"/>
      <c r="GJ9" s="3"/>
      <c r="GK9" s="3">
        <f t="shared" si="38"/>
        <v>0</v>
      </c>
      <c r="GL9" s="92">
        <f t="shared" si="39"/>
        <v>268000</v>
      </c>
      <c r="GM9" s="8">
        <f t="shared" si="40"/>
        <v>3741000</v>
      </c>
      <c r="GN9" s="8">
        <f t="shared" si="41"/>
        <v>4000</v>
      </c>
      <c r="GO9" s="97">
        <v>2000</v>
      </c>
      <c r="GP9" s="8">
        <f t="shared" si="56"/>
        <v>8000000</v>
      </c>
      <c r="GQ9" s="8">
        <f t="shared" si="42"/>
        <v>10000000</v>
      </c>
      <c r="GR9" s="8">
        <f t="shared" si="43"/>
        <v>4259000</v>
      </c>
      <c r="GS9" s="8">
        <f t="shared" si="44"/>
        <v>6259000</v>
      </c>
      <c r="GT9" s="3" t="s">
        <v>1725</v>
      </c>
      <c r="GU9" s="45" t="s">
        <v>1722</v>
      </c>
    </row>
    <row r="10" spans="1:203" ht="158.25" customHeight="1">
      <c r="A10" s="44">
        <v>6</v>
      </c>
      <c r="B10" s="92" t="s">
        <v>17</v>
      </c>
      <c r="C10" s="3" t="s">
        <v>14</v>
      </c>
      <c r="D10" s="2" t="s">
        <v>8</v>
      </c>
      <c r="E10" s="3" t="s">
        <v>873</v>
      </c>
      <c r="F10" s="3" t="s">
        <v>704</v>
      </c>
      <c r="G10" s="9" t="s">
        <v>1718</v>
      </c>
      <c r="H10" s="3" t="s">
        <v>45</v>
      </c>
      <c r="I10" s="10" t="s">
        <v>701</v>
      </c>
      <c r="J10" s="3" t="s">
        <v>694</v>
      </c>
      <c r="K10" s="2" t="s">
        <v>370</v>
      </c>
      <c r="L10" s="4" t="s">
        <v>564</v>
      </c>
      <c r="M10" s="2" t="s">
        <v>9</v>
      </c>
      <c r="N10" s="2" t="s">
        <v>371</v>
      </c>
      <c r="O10" s="3" t="s">
        <v>158</v>
      </c>
      <c r="P10" s="3" t="s">
        <v>159</v>
      </c>
      <c r="Q10" s="4" t="s">
        <v>128</v>
      </c>
      <c r="R10" s="3">
        <v>1.6</v>
      </c>
      <c r="S10" s="3">
        <v>6</v>
      </c>
      <c r="T10" s="3">
        <v>3000</v>
      </c>
      <c r="U10" s="3">
        <v>110</v>
      </c>
      <c r="V10" s="3">
        <v>110</v>
      </c>
      <c r="W10" s="11" t="s">
        <v>372</v>
      </c>
      <c r="X10" s="3">
        <v>1</v>
      </c>
      <c r="Y10" s="3">
        <v>1.5</v>
      </c>
      <c r="Z10" s="2" t="s">
        <v>373</v>
      </c>
      <c r="AA10" s="2" t="s">
        <v>10</v>
      </c>
      <c r="AB10" s="3" t="s">
        <v>130</v>
      </c>
      <c r="AC10" s="3">
        <v>50000</v>
      </c>
      <c r="AD10" s="3">
        <v>0</v>
      </c>
      <c r="AE10" s="3">
        <v>5</v>
      </c>
      <c r="AF10" s="3">
        <v>80000</v>
      </c>
      <c r="AG10" s="3">
        <f t="shared" si="45"/>
        <v>400000</v>
      </c>
      <c r="AH10" s="3" t="s">
        <v>161</v>
      </c>
      <c r="AI10" s="3">
        <v>0</v>
      </c>
      <c r="AJ10" s="2">
        <v>1000</v>
      </c>
      <c r="AK10" s="3">
        <v>100</v>
      </c>
      <c r="AL10" s="2">
        <f>6000</f>
        <v>6000</v>
      </c>
      <c r="AM10" s="3">
        <v>50</v>
      </c>
      <c r="AN10" s="2">
        <v>3000</v>
      </c>
      <c r="AO10" s="3"/>
      <c r="AP10" s="3"/>
      <c r="AQ10" s="2">
        <f t="shared" si="0"/>
        <v>750000</v>
      </c>
      <c r="AR10" s="3" t="s">
        <v>456</v>
      </c>
      <c r="AS10" s="3" t="s">
        <v>457</v>
      </c>
      <c r="AT10" s="3" t="s">
        <v>125</v>
      </c>
      <c r="AU10" s="3">
        <v>0</v>
      </c>
      <c r="AV10" s="3">
        <v>6000</v>
      </c>
      <c r="AW10" s="3">
        <f t="shared" si="1"/>
        <v>0</v>
      </c>
      <c r="AX10" s="3" t="s">
        <v>125</v>
      </c>
      <c r="AY10" s="3">
        <v>0</v>
      </c>
      <c r="AZ10" s="3">
        <v>6000</v>
      </c>
      <c r="BA10" s="3">
        <f t="shared" si="2"/>
        <v>0</v>
      </c>
      <c r="BB10" s="3" t="s">
        <v>125</v>
      </c>
      <c r="BC10" s="3">
        <v>0</v>
      </c>
      <c r="BD10" s="3">
        <v>6000</v>
      </c>
      <c r="BE10" s="3">
        <f t="shared" si="3"/>
        <v>0</v>
      </c>
      <c r="BF10" s="3" t="s">
        <v>125</v>
      </c>
      <c r="BG10" s="3">
        <v>0</v>
      </c>
      <c r="BH10" s="3">
        <v>6000</v>
      </c>
      <c r="BI10" s="3">
        <f t="shared" si="4"/>
        <v>0</v>
      </c>
      <c r="BJ10" s="3" t="s">
        <v>126</v>
      </c>
      <c r="BK10" s="3">
        <v>1</v>
      </c>
      <c r="BL10" s="3"/>
      <c r="BM10" s="3">
        <f t="shared" si="5"/>
        <v>0</v>
      </c>
      <c r="BN10" s="3" t="s">
        <v>125</v>
      </c>
      <c r="BO10" s="3">
        <v>1</v>
      </c>
      <c r="BP10" s="3"/>
      <c r="BQ10" s="3">
        <f t="shared" si="6"/>
        <v>0</v>
      </c>
      <c r="BR10" s="3" t="s">
        <v>125</v>
      </c>
      <c r="BS10" s="3">
        <v>1</v>
      </c>
      <c r="BT10" s="3"/>
      <c r="BU10" s="3">
        <f t="shared" si="7"/>
        <v>0</v>
      </c>
      <c r="BV10" s="3" t="s">
        <v>125</v>
      </c>
      <c r="BW10" s="3">
        <v>1</v>
      </c>
      <c r="BX10" s="3"/>
      <c r="BY10" s="3">
        <f t="shared" si="8"/>
        <v>0</v>
      </c>
      <c r="BZ10" s="92">
        <f t="shared" si="9"/>
        <v>0</v>
      </c>
      <c r="CA10" s="3" t="s">
        <v>125</v>
      </c>
      <c r="CB10" s="3">
        <v>5</v>
      </c>
      <c r="CC10" s="3">
        <v>8000</v>
      </c>
      <c r="CD10" s="3">
        <f t="shared" si="10"/>
        <v>40000</v>
      </c>
      <c r="CE10" s="3" t="s">
        <v>125</v>
      </c>
      <c r="CF10" s="3">
        <v>30</v>
      </c>
      <c r="CG10" s="3">
        <v>6000</v>
      </c>
      <c r="CH10" s="3">
        <f t="shared" si="11"/>
        <v>180000</v>
      </c>
      <c r="CI10" s="3" t="s">
        <v>139</v>
      </c>
      <c r="CJ10" s="3">
        <v>1</v>
      </c>
      <c r="CK10" s="3"/>
      <c r="CL10" s="3">
        <f t="shared" si="12"/>
        <v>0</v>
      </c>
      <c r="CM10" s="5">
        <f t="shared" si="13"/>
        <v>220000</v>
      </c>
      <c r="CN10" s="3" t="s">
        <v>125</v>
      </c>
      <c r="CO10" s="3">
        <v>10</v>
      </c>
      <c r="CP10" s="3">
        <v>6000</v>
      </c>
      <c r="CQ10" s="3">
        <f t="shared" si="14"/>
        <v>60000</v>
      </c>
      <c r="CR10" s="3" t="s">
        <v>125</v>
      </c>
      <c r="CS10" s="3">
        <v>0</v>
      </c>
      <c r="CT10" s="3">
        <v>6000</v>
      </c>
      <c r="CU10" s="3">
        <f t="shared" si="15"/>
        <v>0</v>
      </c>
      <c r="CV10" s="3" t="s">
        <v>125</v>
      </c>
      <c r="CW10" s="3">
        <v>15</v>
      </c>
      <c r="CX10" s="3">
        <v>6000</v>
      </c>
      <c r="CY10" s="3">
        <f t="shared" si="16"/>
        <v>90000</v>
      </c>
      <c r="CZ10" s="3" t="s">
        <v>125</v>
      </c>
      <c r="DA10" s="3">
        <v>5</v>
      </c>
      <c r="DB10" s="3">
        <v>6000</v>
      </c>
      <c r="DC10" s="3">
        <f t="shared" si="17"/>
        <v>30000</v>
      </c>
      <c r="DD10" s="3" t="s">
        <v>125</v>
      </c>
      <c r="DE10" s="3">
        <v>5</v>
      </c>
      <c r="DF10" s="3">
        <v>6000</v>
      </c>
      <c r="DG10" s="3">
        <f t="shared" si="18"/>
        <v>30000</v>
      </c>
      <c r="DH10" s="3" t="s">
        <v>125</v>
      </c>
      <c r="DI10" s="3"/>
      <c r="DJ10" s="3">
        <v>6000</v>
      </c>
      <c r="DK10" s="3">
        <f t="shared" si="19"/>
        <v>0</v>
      </c>
      <c r="DL10" s="3" t="s">
        <v>125</v>
      </c>
      <c r="DM10" s="3"/>
      <c r="DN10" s="3">
        <v>6000</v>
      </c>
      <c r="DO10" s="3">
        <f t="shared" si="20"/>
        <v>0</v>
      </c>
      <c r="DP10" s="3" t="s">
        <v>125</v>
      </c>
      <c r="DQ10" s="3"/>
      <c r="DR10" s="3">
        <v>6000</v>
      </c>
      <c r="DS10" s="3">
        <f t="shared" si="21"/>
        <v>0</v>
      </c>
      <c r="DT10" s="6">
        <f t="shared" si="22"/>
        <v>210000</v>
      </c>
      <c r="DU10" s="3" t="s">
        <v>20</v>
      </c>
      <c r="DV10" s="3">
        <f t="shared" si="46"/>
        <v>1.6</v>
      </c>
      <c r="DW10" s="3">
        <f t="shared" si="47"/>
        <v>3000</v>
      </c>
      <c r="DX10" s="3">
        <f t="shared" si="23"/>
        <v>4800</v>
      </c>
      <c r="DY10" s="3" t="s">
        <v>127</v>
      </c>
      <c r="DZ10" s="3">
        <f t="shared" si="48"/>
        <v>0</v>
      </c>
      <c r="EA10" s="3">
        <v>50000</v>
      </c>
      <c r="EB10" s="3">
        <f t="shared" si="24"/>
        <v>0</v>
      </c>
      <c r="EC10" s="3" t="s">
        <v>127</v>
      </c>
      <c r="ED10" s="3">
        <f t="shared" si="49"/>
        <v>5</v>
      </c>
      <c r="EE10" s="3">
        <v>80000</v>
      </c>
      <c r="EF10" s="3">
        <f t="shared" si="25"/>
        <v>400000</v>
      </c>
      <c r="EG10" s="3" t="s">
        <v>126</v>
      </c>
      <c r="EH10" s="3">
        <f t="shared" si="50"/>
        <v>100</v>
      </c>
      <c r="EI10" s="3">
        <v>6000</v>
      </c>
      <c r="EJ10" s="7">
        <f t="shared" si="26"/>
        <v>600000</v>
      </c>
      <c r="EK10" s="3" t="s">
        <v>126</v>
      </c>
      <c r="EL10" s="3">
        <f t="shared" si="51"/>
        <v>50</v>
      </c>
      <c r="EM10" s="3">
        <v>3000</v>
      </c>
      <c r="EN10" s="3">
        <f t="shared" si="27"/>
        <v>150000</v>
      </c>
      <c r="EO10" s="3" t="s">
        <v>126</v>
      </c>
      <c r="EP10" s="3">
        <f t="shared" si="52"/>
        <v>0</v>
      </c>
      <c r="EQ10" s="3">
        <v>1000</v>
      </c>
      <c r="ER10" s="7">
        <f t="shared" si="53"/>
        <v>0</v>
      </c>
      <c r="ES10" s="3" t="s">
        <v>124</v>
      </c>
      <c r="ET10" s="3">
        <v>2</v>
      </c>
      <c r="EU10" s="3">
        <v>60000</v>
      </c>
      <c r="EV10" s="3">
        <f t="shared" si="28"/>
        <v>120000</v>
      </c>
      <c r="EW10" s="3" t="s">
        <v>124</v>
      </c>
      <c r="EX10" s="3">
        <v>0</v>
      </c>
      <c r="EY10" s="3">
        <v>60000</v>
      </c>
      <c r="EZ10" s="3">
        <f t="shared" si="29"/>
        <v>0</v>
      </c>
      <c r="FA10" s="3" t="s">
        <v>132</v>
      </c>
      <c r="FB10" s="3">
        <v>40</v>
      </c>
      <c r="FC10" s="3">
        <v>1000</v>
      </c>
      <c r="FD10" s="3">
        <f t="shared" si="30"/>
        <v>40000</v>
      </c>
      <c r="FE10" s="3" t="s">
        <v>126</v>
      </c>
      <c r="FF10" s="3">
        <f t="shared" si="54"/>
        <v>0</v>
      </c>
      <c r="FG10" s="3">
        <v>6000</v>
      </c>
      <c r="FH10" s="3">
        <f t="shared" si="31"/>
        <v>0</v>
      </c>
      <c r="FI10" s="1">
        <f t="shared" si="32"/>
        <v>1314800</v>
      </c>
      <c r="FJ10" s="3" t="s">
        <v>139</v>
      </c>
      <c r="FK10" s="3">
        <v>10</v>
      </c>
      <c r="FL10" s="3">
        <v>6000</v>
      </c>
      <c r="FM10" s="3">
        <f t="shared" si="33"/>
        <v>60000</v>
      </c>
      <c r="FN10" s="3" t="s">
        <v>139</v>
      </c>
      <c r="FO10" s="3">
        <v>10</v>
      </c>
      <c r="FP10" s="3">
        <v>6000</v>
      </c>
      <c r="FQ10" s="3">
        <f t="shared" si="55"/>
        <v>60000</v>
      </c>
      <c r="FR10" s="3" t="s">
        <v>139</v>
      </c>
      <c r="FS10" s="3">
        <v>6</v>
      </c>
      <c r="FT10" s="3">
        <v>6000</v>
      </c>
      <c r="FU10" s="3">
        <f t="shared" si="34"/>
        <v>36000</v>
      </c>
      <c r="FV10" s="3" t="s">
        <v>139</v>
      </c>
      <c r="FW10" s="3"/>
      <c r="FX10" s="3">
        <v>8000</v>
      </c>
      <c r="FY10" s="3">
        <f t="shared" si="35"/>
        <v>0</v>
      </c>
      <c r="FZ10" s="3" t="s">
        <v>139</v>
      </c>
      <c r="GA10" s="3">
        <v>2</v>
      </c>
      <c r="GB10" s="3">
        <v>8000</v>
      </c>
      <c r="GC10" s="3">
        <f t="shared" si="36"/>
        <v>16000</v>
      </c>
      <c r="GD10" s="3" t="s">
        <v>139</v>
      </c>
      <c r="GE10" s="3">
        <v>10</v>
      </c>
      <c r="GF10" s="3">
        <v>10000</v>
      </c>
      <c r="GG10" s="3">
        <f t="shared" si="37"/>
        <v>100000</v>
      </c>
      <c r="GH10" s="3" t="s">
        <v>139</v>
      </c>
      <c r="GI10" s="3"/>
      <c r="GJ10" s="3"/>
      <c r="GK10" s="3">
        <f t="shared" si="38"/>
        <v>0</v>
      </c>
      <c r="GL10" s="92">
        <f t="shared" si="39"/>
        <v>272000</v>
      </c>
      <c r="GM10" s="8">
        <f t="shared" si="40"/>
        <v>2016800</v>
      </c>
      <c r="GN10" s="8">
        <f t="shared" si="41"/>
        <v>1000</v>
      </c>
      <c r="GO10" s="97">
        <v>2200</v>
      </c>
      <c r="GP10" s="8">
        <f t="shared" si="56"/>
        <v>2200000</v>
      </c>
      <c r="GQ10" s="8">
        <f t="shared" si="42"/>
        <v>3300000</v>
      </c>
      <c r="GR10" s="8">
        <f t="shared" si="43"/>
        <v>183200</v>
      </c>
      <c r="GS10" s="8">
        <f t="shared" si="44"/>
        <v>1283200</v>
      </c>
      <c r="GT10" s="3" t="s">
        <v>1726</v>
      </c>
      <c r="GU10" s="46"/>
    </row>
    <row r="11" spans="1:203" ht="158.25" customHeight="1">
      <c r="A11" s="44">
        <v>7</v>
      </c>
      <c r="B11" s="92" t="s">
        <v>17</v>
      </c>
      <c r="C11" s="3" t="s">
        <v>14</v>
      </c>
      <c r="D11" s="2" t="s">
        <v>6</v>
      </c>
      <c r="E11" s="3" t="s">
        <v>874</v>
      </c>
      <c r="F11" s="3" t="s">
        <v>709</v>
      </c>
      <c r="G11" s="3" t="s">
        <v>680</v>
      </c>
      <c r="H11" s="3" t="s">
        <v>45</v>
      </c>
      <c r="I11" s="10" t="s">
        <v>701</v>
      </c>
      <c r="J11" s="3" t="s">
        <v>695</v>
      </c>
      <c r="K11" s="2" t="s">
        <v>370</v>
      </c>
      <c r="L11" s="4" t="s">
        <v>564</v>
      </c>
      <c r="M11" s="2" t="s">
        <v>7</v>
      </c>
      <c r="N11" s="2" t="s">
        <v>371</v>
      </c>
      <c r="O11" s="9" t="s">
        <v>129</v>
      </c>
      <c r="P11" s="3" t="s">
        <v>159</v>
      </c>
      <c r="Q11" s="4" t="s">
        <v>128</v>
      </c>
      <c r="R11" s="3">
        <v>1.6</v>
      </c>
      <c r="S11" s="3">
        <v>6</v>
      </c>
      <c r="T11" s="3">
        <v>3000</v>
      </c>
      <c r="U11" s="3">
        <v>90</v>
      </c>
      <c r="V11" s="3">
        <v>150</v>
      </c>
      <c r="W11" s="3" t="s">
        <v>160</v>
      </c>
      <c r="X11" s="3">
        <v>1</v>
      </c>
      <c r="Y11" s="3">
        <v>2</v>
      </c>
      <c r="Z11" s="2" t="s">
        <v>373</v>
      </c>
      <c r="AA11" s="2" t="s">
        <v>18</v>
      </c>
      <c r="AB11" s="3" t="s">
        <v>130</v>
      </c>
      <c r="AC11" s="3">
        <v>50000</v>
      </c>
      <c r="AD11" s="3">
        <v>0</v>
      </c>
      <c r="AE11" s="3">
        <v>5</v>
      </c>
      <c r="AF11" s="3">
        <v>80000</v>
      </c>
      <c r="AG11" s="3">
        <f t="shared" si="45"/>
        <v>400000</v>
      </c>
      <c r="AH11" s="3" t="s">
        <v>161</v>
      </c>
      <c r="AI11" s="3">
        <v>0</v>
      </c>
      <c r="AJ11" s="2">
        <v>1000</v>
      </c>
      <c r="AK11" s="3">
        <v>100</v>
      </c>
      <c r="AL11" s="2">
        <f>6000</f>
        <v>6000</v>
      </c>
      <c r="AM11" s="3">
        <v>50</v>
      </c>
      <c r="AN11" s="2">
        <v>3000</v>
      </c>
      <c r="AO11" s="3"/>
      <c r="AP11" s="3"/>
      <c r="AQ11" s="2">
        <f t="shared" si="0"/>
        <v>750000</v>
      </c>
      <c r="AR11" s="3" t="s">
        <v>456</v>
      </c>
      <c r="AS11" s="3" t="s">
        <v>457</v>
      </c>
      <c r="AT11" s="3" t="s">
        <v>125</v>
      </c>
      <c r="AU11" s="3">
        <v>0</v>
      </c>
      <c r="AV11" s="3">
        <v>6000</v>
      </c>
      <c r="AW11" s="3">
        <f t="shared" si="1"/>
        <v>0</v>
      </c>
      <c r="AX11" s="3" t="s">
        <v>125</v>
      </c>
      <c r="AY11" s="3">
        <v>0</v>
      </c>
      <c r="AZ11" s="3">
        <v>6000</v>
      </c>
      <c r="BA11" s="3">
        <f t="shared" si="2"/>
        <v>0</v>
      </c>
      <c r="BB11" s="3" t="s">
        <v>125</v>
      </c>
      <c r="BC11" s="3">
        <v>0</v>
      </c>
      <c r="BD11" s="3">
        <v>6000</v>
      </c>
      <c r="BE11" s="3">
        <f t="shared" si="3"/>
        <v>0</v>
      </c>
      <c r="BF11" s="3" t="s">
        <v>125</v>
      </c>
      <c r="BG11" s="3">
        <v>0</v>
      </c>
      <c r="BH11" s="3">
        <v>6000</v>
      </c>
      <c r="BI11" s="3">
        <f t="shared" si="4"/>
        <v>0</v>
      </c>
      <c r="BJ11" s="3" t="s">
        <v>126</v>
      </c>
      <c r="BK11" s="3">
        <v>1</v>
      </c>
      <c r="BL11" s="3"/>
      <c r="BM11" s="3">
        <f t="shared" si="5"/>
        <v>0</v>
      </c>
      <c r="BN11" s="3" t="s">
        <v>125</v>
      </c>
      <c r="BO11" s="3">
        <v>1</v>
      </c>
      <c r="BP11" s="3"/>
      <c r="BQ11" s="3">
        <f t="shared" si="6"/>
        <v>0</v>
      </c>
      <c r="BR11" s="3" t="s">
        <v>125</v>
      </c>
      <c r="BS11" s="3">
        <v>1</v>
      </c>
      <c r="BT11" s="3"/>
      <c r="BU11" s="3">
        <f t="shared" si="7"/>
        <v>0</v>
      </c>
      <c r="BV11" s="3" t="s">
        <v>125</v>
      </c>
      <c r="BW11" s="3">
        <v>1</v>
      </c>
      <c r="BX11" s="3"/>
      <c r="BY11" s="3">
        <f t="shared" si="8"/>
        <v>0</v>
      </c>
      <c r="BZ11" s="92">
        <f t="shared" si="9"/>
        <v>0</v>
      </c>
      <c r="CA11" s="3" t="s">
        <v>125</v>
      </c>
      <c r="CB11" s="3">
        <v>5</v>
      </c>
      <c r="CC11" s="3">
        <v>8000</v>
      </c>
      <c r="CD11" s="3">
        <f t="shared" si="10"/>
        <v>40000</v>
      </c>
      <c r="CE11" s="3" t="s">
        <v>125</v>
      </c>
      <c r="CF11" s="3">
        <v>30</v>
      </c>
      <c r="CG11" s="3">
        <v>6000</v>
      </c>
      <c r="CH11" s="3">
        <f t="shared" si="11"/>
        <v>180000</v>
      </c>
      <c r="CI11" s="3" t="s">
        <v>139</v>
      </c>
      <c r="CJ11" s="3">
        <v>1</v>
      </c>
      <c r="CK11" s="3"/>
      <c r="CL11" s="3">
        <f t="shared" si="12"/>
        <v>0</v>
      </c>
      <c r="CM11" s="5">
        <f t="shared" si="13"/>
        <v>220000</v>
      </c>
      <c r="CN11" s="3" t="s">
        <v>125</v>
      </c>
      <c r="CO11" s="3">
        <v>10</v>
      </c>
      <c r="CP11" s="3">
        <v>6000</v>
      </c>
      <c r="CQ11" s="3">
        <f t="shared" si="14"/>
        <v>60000</v>
      </c>
      <c r="CR11" s="3" t="s">
        <v>125</v>
      </c>
      <c r="CS11" s="3">
        <v>0</v>
      </c>
      <c r="CT11" s="3">
        <v>6000</v>
      </c>
      <c r="CU11" s="3">
        <f t="shared" si="15"/>
        <v>0</v>
      </c>
      <c r="CV11" s="3" t="s">
        <v>125</v>
      </c>
      <c r="CW11" s="3">
        <v>15</v>
      </c>
      <c r="CX11" s="3">
        <v>6000</v>
      </c>
      <c r="CY11" s="3">
        <f t="shared" si="16"/>
        <v>90000</v>
      </c>
      <c r="CZ11" s="3" t="s">
        <v>125</v>
      </c>
      <c r="DA11" s="3">
        <v>5</v>
      </c>
      <c r="DB11" s="3">
        <v>6000</v>
      </c>
      <c r="DC11" s="3">
        <f t="shared" si="17"/>
        <v>30000</v>
      </c>
      <c r="DD11" s="3" t="s">
        <v>125</v>
      </c>
      <c r="DE11" s="3">
        <v>5</v>
      </c>
      <c r="DF11" s="3">
        <v>6000</v>
      </c>
      <c r="DG11" s="3">
        <f t="shared" si="18"/>
        <v>30000</v>
      </c>
      <c r="DH11" s="3" t="s">
        <v>125</v>
      </c>
      <c r="DI11" s="3"/>
      <c r="DJ11" s="3">
        <v>6000</v>
      </c>
      <c r="DK11" s="3">
        <f t="shared" si="19"/>
        <v>0</v>
      </c>
      <c r="DL11" s="3" t="s">
        <v>125</v>
      </c>
      <c r="DM11" s="3"/>
      <c r="DN11" s="3">
        <v>6000</v>
      </c>
      <c r="DO11" s="3">
        <f t="shared" si="20"/>
        <v>0</v>
      </c>
      <c r="DP11" s="3" t="s">
        <v>125</v>
      </c>
      <c r="DQ11" s="3"/>
      <c r="DR11" s="3">
        <v>6000</v>
      </c>
      <c r="DS11" s="3">
        <f t="shared" si="21"/>
        <v>0</v>
      </c>
      <c r="DT11" s="6">
        <f t="shared" si="22"/>
        <v>210000</v>
      </c>
      <c r="DU11" s="3" t="s">
        <v>20</v>
      </c>
      <c r="DV11" s="3">
        <f t="shared" si="46"/>
        <v>1.6</v>
      </c>
      <c r="DW11" s="3">
        <f t="shared" si="47"/>
        <v>3000</v>
      </c>
      <c r="DX11" s="3">
        <f t="shared" si="23"/>
        <v>4800</v>
      </c>
      <c r="DY11" s="3" t="s">
        <v>127</v>
      </c>
      <c r="DZ11" s="3">
        <f t="shared" si="48"/>
        <v>0</v>
      </c>
      <c r="EA11" s="3">
        <v>50000</v>
      </c>
      <c r="EB11" s="3">
        <f t="shared" si="24"/>
        <v>0</v>
      </c>
      <c r="EC11" s="3" t="s">
        <v>127</v>
      </c>
      <c r="ED11" s="3">
        <f t="shared" si="49"/>
        <v>5</v>
      </c>
      <c r="EE11" s="3">
        <v>80000</v>
      </c>
      <c r="EF11" s="3">
        <f t="shared" si="25"/>
        <v>400000</v>
      </c>
      <c r="EG11" s="3" t="s">
        <v>126</v>
      </c>
      <c r="EH11" s="3">
        <f t="shared" si="50"/>
        <v>100</v>
      </c>
      <c r="EI11" s="3">
        <v>6000</v>
      </c>
      <c r="EJ11" s="7">
        <f t="shared" si="26"/>
        <v>600000</v>
      </c>
      <c r="EK11" s="3" t="s">
        <v>126</v>
      </c>
      <c r="EL11" s="3">
        <f t="shared" si="51"/>
        <v>50</v>
      </c>
      <c r="EM11" s="3">
        <v>3000</v>
      </c>
      <c r="EN11" s="3">
        <f t="shared" si="27"/>
        <v>150000</v>
      </c>
      <c r="EO11" s="3" t="s">
        <v>126</v>
      </c>
      <c r="EP11" s="3">
        <f t="shared" si="52"/>
        <v>0</v>
      </c>
      <c r="EQ11" s="3">
        <v>1000</v>
      </c>
      <c r="ER11" s="7">
        <f t="shared" si="53"/>
        <v>0</v>
      </c>
      <c r="ES11" s="3" t="s">
        <v>124</v>
      </c>
      <c r="ET11" s="3">
        <v>2</v>
      </c>
      <c r="EU11" s="3">
        <v>60000</v>
      </c>
      <c r="EV11" s="3">
        <f t="shared" si="28"/>
        <v>120000</v>
      </c>
      <c r="EW11" s="3" t="s">
        <v>124</v>
      </c>
      <c r="EX11" s="3">
        <v>0</v>
      </c>
      <c r="EY11" s="3">
        <v>60000</v>
      </c>
      <c r="EZ11" s="3">
        <f t="shared" si="29"/>
        <v>0</v>
      </c>
      <c r="FA11" s="3" t="s">
        <v>132</v>
      </c>
      <c r="FB11" s="3">
        <v>40</v>
      </c>
      <c r="FC11" s="3">
        <v>1000</v>
      </c>
      <c r="FD11" s="3">
        <f t="shared" si="30"/>
        <v>40000</v>
      </c>
      <c r="FE11" s="3" t="s">
        <v>126</v>
      </c>
      <c r="FF11" s="3">
        <f t="shared" si="54"/>
        <v>0</v>
      </c>
      <c r="FG11" s="3">
        <v>6000</v>
      </c>
      <c r="FH11" s="3">
        <f t="shared" si="31"/>
        <v>0</v>
      </c>
      <c r="FI11" s="1">
        <f t="shared" si="32"/>
        <v>1314800</v>
      </c>
      <c r="FJ11" s="3" t="s">
        <v>139</v>
      </c>
      <c r="FK11" s="3">
        <v>10</v>
      </c>
      <c r="FL11" s="3">
        <v>6000</v>
      </c>
      <c r="FM11" s="3">
        <f t="shared" si="33"/>
        <v>60000</v>
      </c>
      <c r="FN11" s="3" t="s">
        <v>139</v>
      </c>
      <c r="FO11" s="3">
        <v>10</v>
      </c>
      <c r="FP11" s="3">
        <v>6000</v>
      </c>
      <c r="FQ11" s="3">
        <f t="shared" si="55"/>
        <v>60000</v>
      </c>
      <c r="FR11" s="3" t="s">
        <v>139</v>
      </c>
      <c r="FS11" s="3"/>
      <c r="FT11" s="3">
        <v>6000</v>
      </c>
      <c r="FU11" s="3">
        <f t="shared" si="34"/>
        <v>0</v>
      </c>
      <c r="FV11" s="3" t="s">
        <v>139</v>
      </c>
      <c r="FW11" s="3"/>
      <c r="FX11" s="3">
        <v>8000</v>
      </c>
      <c r="FY11" s="3">
        <f t="shared" si="35"/>
        <v>0</v>
      </c>
      <c r="FZ11" s="3" t="s">
        <v>139</v>
      </c>
      <c r="GA11" s="3">
        <v>2</v>
      </c>
      <c r="GB11" s="3">
        <v>8000</v>
      </c>
      <c r="GC11" s="3">
        <f t="shared" si="36"/>
        <v>16000</v>
      </c>
      <c r="GD11" s="3" t="s">
        <v>139</v>
      </c>
      <c r="GE11" s="3">
        <v>10</v>
      </c>
      <c r="GF11" s="3">
        <v>10000</v>
      </c>
      <c r="GG11" s="3">
        <f t="shared" si="37"/>
        <v>100000</v>
      </c>
      <c r="GH11" s="3" t="s">
        <v>139</v>
      </c>
      <c r="GI11" s="3"/>
      <c r="GJ11" s="3"/>
      <c r="GK11" s="3">
        <f t="shared" si="38"/>
        <v>0</v>
      </c>
      <c r="GL11" s="92">
        <f t="shared" si="39"/>
        <v>236000</v>
      </c>
      <c r="GM11" s="8">
        <f t="shared" si="40"/>
        <v>1980800</v>
      </c>
      <c r="GN11" s="8">
        <f t="shared" si="41"/>
        <v>1000</v>
      </c>
      <c r="GO11" s="97">
        <v>2000</v>
      </c>
      <c r="GP11" s="8">
        <f t="shared" si="56"/>
        <v>2000000</v>
      </c>
      <c r="GQ11" s="8">
        <f t="shared" si="42"/>
        <v>4000000</v>
      </c>
      <c r="GR11" s="8">
        <f t="shared" si="43"/>
        <v>19200</v>
      </c>
      <c r="GS11" s="8">
        <f t="shared" si="44"/>
        <v>2019200</v>
      </c>
      <c r="GT11" s="3" t="s">
        <v>1714</v>
      </c>
      <c r="GU11" s="46"/>
    </row>
    <row r="12" spans="1:203" ht="158.25" customHeight="1">
      <c r="A12" s="44">
        <v>8</v>
      </c>
      <c r="B12" s="92" t="s">
        <v>17</v>
      </c>
      <c r="C12" s="3" t="s">
        <v>14</v>
      </c>
      <c r="D12" s="2" t="s">
        <v>710</v>
      </c>
      <c r="E12" s="3" t="s">
        <v>875</v>
      </c>
      <c r="F12" s="3" t="s">
        <v>712</v>
      </c>
      <c r="G12" s="3" t="s">
        <v>162</v>
      </c>
      <c r="H12" s="2" t="s">
        <v>45</v>
      </c>
      <c r="I12" s="10" t="s">
        <v>702</v>
      </c>
      <c r="J12" s="2" t="s">
        <v>696</v>
      </c>
      <c r="K12" s="2" t="s">
        <v>374</v>
      </c>
      <c r="L12" s="4" t="s">
        <v>565</v>
      </c>
      <c r="M12" s="2" t="s">
        <v>46</v>
      </c>
      <c r="N12" s="2" t="s">
        <v>371</v>
      </c>
      <c r="O12" s="9" t="s">
        <v>129</v>
      </c>
      <c r="P12" s="3" t="s">
        <v>159</v>
      </c>
      <c r="Q12" s="4" t="s">
        <v>128</v>
      </c>
      <c r="R12" s="3">
        <v>1.6</v>
      </c>
      <c r="S12" s="3">
        <v>6</v>
      </c>
      <c r="T12" s="3">
        <v>3000</v>
      </c>
      <c r="U12" s="3">
        <v>90</v>
      </c>
      <c r="V12" s="3">
        <v>120</v>
      </c>
      <c r="W12" s="11" t="s">
        <v>375</v>
      </c>
      <c r="X12" s="3">
        <v>1</v>
      </c>
      <c r="Y12" s="3">
        <v>2.5</v>
      </c>
      <c r="Z12" s="2" t="s">
        <v>373</v>
      </c>
      <c r="AA12" s="2" t="s">
        <v>47</v>
      </c>
      <c r="AB12" s="3" t="s">
        <v>130</v>
      </c>
      <c r="AC12" s="3">
        <v>50000</v>
      </c>
      <c r="AD12" s="3">
        <v>0</v>
      </c>
      <c r="AE12" s="3">
        <v>5</v>
      </c>
      <c r="AF12" s="3">
        <v>80000</v>
      </c>
      <c r="AG12" s="3">
        <f t="shared" si="45"/>
        <v>400000</v>
      </c>
      <c r="AH12" s="3" t="s">
        <v>161</v>
      </c>
      <c r="AI12" s="3">
        <v>0</v>
      </c>
      <c r="AJ12" s="2">
        <v>1000</v>
      </c>
      <c r="AK12" s="3">
        <v>100</v>
      </c>
      <c r="AL12" s="2">
        <f>6000</f>
        <v>6000</v>
      </c>
      <c r="AM12" s="3">
        <v>50</v>
      </c>
      <c r="AN12" s="2">
        <v>3000</v>
      </c>
      <c r="AO12" s="3"/>
      <c r="AP12" s="3"/>
      <c r="AQ12" s="2">
        <f t="shared" si="0"/>
        <v>750000</v>
      </c>
      <c r="AR12" s="3" t="s">
        <v>456</v>
      </c>
      <c r="AS12" s="3" t="s">
        <v>457</v>
      </c>
      <c r="AT12" s="3" t="s">
        <v>125</v>
      </c>
      <c r="AU12" s="3">
        <v>0</v>
      </c>
      <c r="AV12" s="3">
        <v>6000</v>
      </c>
      <c r="AW12" s="3">
        <f t="shared" si="1"/>
        <v>0</v>
      </c>
      <c r="AX12" s="3" t="s">
        <v>125</v>
      </c>
      <c r="AY12" s="3">
        <v>0</v>
      </c>
      <c r="AZ12" s="3">
        <v>6000</v>
      </c>
      <c r="BA12" s="3">
        <f t="shared" si="2"/>
        <v>0</v>
      </c>
      <c r="BB12" s="3" t="s">
        <v>125</v>
      </c>
      <c r="BC12" s="3">
        <v>0</v>
      </c>
      <c r="BD12" s="3">
        <v>6000</v>
      </c>
      <c r="BE12" s="3">
        <f t="shared" si="3"/>
        <v>0</v>
      </c>
      <c r="BF12" s="3" t="s">
        <v>125</v>
      </c>
      <c r="BG12" s="3">
        <v>0</v>
      </c>
      <c r="BH12" s="3">
        <v>6000</v>
      </c>
      <c r="BI12" s="3">
        <f t="shared" si="4"/>
        <v>0</v>
      </c>
      <c r="BJ12" s="3" t="s">
        <v>126</v>
      </c>
      <c r="BK12" s="3">
        <v>1</v>
      </c>
      <c r="BL12" s="3"/>
      <c r="BM12" s="3">
        <f t="shared" si="5"/>
        <v>0</v>
      </c>
      <c r="BN12" s="3" t="s">
        <v>125</v>
      </c>
      <c r="BO12" s="3">
        <v>1</v>
      </c>
      <c r="BP12" s="3"/>
      <c r="BQ12" s="3">
        <f t="shared" si="6"/>
        <v>0</v>
      </c>
      <c r="BR12" s="3" t="s">
        <v>125</v>
      </c>
      <c r="BS12" s="3">
        <v>1</v>
      </c>
      <c r="BT12" s="3"/>
      <c r="BU12" s="3">
        <f t="shared" si="7"/>
        <v>0</v>
      </c>
      <c r="BV12" s="3" t="s">
        <v>125</v>
      </c>
      <c r="BW12" s="3">
        <v>1</v>
      </c>
      <c r="BX12" s="3"/>
      <c r="BY12" s="3">
        <f t="shared" si="8"/>
        <v>0</v>
      </c>
      <c r="BZ12" s="92">
        <f t="shared" si="9"/>
        <v>0</v>
      </c>
      <c r="CA12" s="3" t="s">
        <v>125</v>
      </c>
      <c r="CB12" s="3">
        <v>5</v>
      </c>
      <c r="CC12" s="3">
        <v>8000</v>
      </c>
      <c r="CD12" s="3">
        <f t="shared" si="10"/>
        <v>40000</v>
      </c>
      <c r="CE12" s="3" t="s">
        <v>125</v>
      </c>
      <c r="CF12" s="3">
        <v>30</v>
      </c>
      <c r="CG12" s="3">
        <v>6000</v>
      </c>
      <c r="CH12" s="3">
        <f t="shared" si="11"/>
        <v>180000</v>
      </c>
      <c r="CI12" s="3" t="s">
        <v>139</v>
      </c>
      <c r="CJ12" s="3">
        <v>1</v>
      </c>
      <c r="CK12" s="3"/>
      <c r="CL12" s="3">
        <f t="shared" si="12"/>
        <v>0</v>
      </c>
      <c r="CM12" s="5">
        <f t="shared" si="13"/>
        <v>220000</v>
      </c>
      <c r="CN12" s="3" t="s">
        <v>125</v>
      </c>
      <c r="CO12" s="3">
        <v>10</v>
      </c>
      <c r="CP12" s="3">
        <v>6000</v>
      </c>
      <c r="CQ12" s="3">
        <f t="shared" si="14"/>
        <v>60000</v>
      </c>
      <c r="CR12" s="3" t="s">
        <v>125</v>
      </c>
      <c r="CS12" s="3">
        <v>0</v>
      </c>
      <c r="CT12" s="3">
        <v>6000</v>
      </c>
      <c r="CU12" s="3">
        <f t="shared" si="15"/>
        <v>0</v>
      </c>
      <c r="CV12" s="3" t="s">
        <v>125</v>
      </c>
      <c r="CW12" s="3">
        <v>15</v>
      </c>
      <c r="CX12" s="3">
        <v>6000</v>
      </c>
      <c r="CY12" s="3">
        <f t="shared" si="16"/>
        <v>90000</v>
      </c>
      <c r="CZ12" s="3" t="s">
        <v>125</v>
      </c>
      <c r="DA12" s="3">
        <v>5</v>
      </c>
      <c r="DB12" s="3">
        <v>6000</v>
      </c>
      <c r="DC12" s="3">
        <f t="shared" si="17"/>
        <v>30000</v>
      </c>
      <c r="DD12" s="3" t="s">
        <v>125</v>
      </c>
      <c r="DE12" s="3">
        <v>5</v>
      </c>
      <c r="DF12" s="3">
        <v>6000</v>
      </c>
      <c r="DG12" s="3">
        <f t="shared" si="18"/>
        <v>30000</v>
      </c>
      <c r="DH12" s="3" t="s">
        <v>125</v>
      </c>
      <c r="DI12" s="3"/>
      <c r="DJ12" s="3">
        <v>6000</v>
      </c>
      <c r="DK12" s="3">
        <f t="shared" si="19"/>
        <v>0</v>
      </c>
      <c r="DL12" s="3" t="s">
        <v>125</v>
      </c>
      <c r="DM12" s="3"/>
      <c r="DN12" s="3">
        <v>6000</v>
      </c>
      <c r="DO12" s="3">
        <f t="shared" si="20"/>
        <v>0</v>
      </c>
      <c r="DP12" s="3" t="s">
        <v>125</v>
      </c>
      <c r="DQ12" s="3"/>
      <c r="DR12" s="3">
        <v>6000</v>
      </c>
      <c r="DS12" s="3">
        <f t="shared" si="21"/>
        <v>0</v>
      </c>
      <c r="DT12" s="6">
        <f t="shared" si="22"/>
        <v>210000</v>
      </c>
      <c r="DU12" s="3" t="s">
        <v>20</v>
      </c>
      <c r="DV12" s="3">
        <f t="shared" si="46"/>
        <v>1.6</v>
      </c>
      <c r="DW12" s="3">
        <f t="shared" si="47"/>
        <v>3000</v>
      </c>
      <c r="DX12" s="3">
        <f t="shared" si="23"/>
        <v>4800</v>
      </c>
      <c r="DY12" s="3" t="s">
        <v>127</v>
      </c>
      <c r="DZ12" s="3">
        <f t="shared" si="48"/>
        <v>0</v>
      </c>
      <c r="EA12" s="3">
        <v>50000</v>
      </c>
      <c r="EB12" s="3">
        <f t="shared" si="24"/>
        <v>0</v>
      </c>
      <c r="EC12" s="3" t="s">
        <v>127</v>
      </c>
      <c r="ED12" s="3">
        <f t="shared" si="49"/>
        <v>5</v>
      </c>
      <c r="EE12" s="3">
        <v>80000</v>
      </c>
      <c r="EF12" s="3">
        <f t="shared" si="25"/>
        <v>400000</v>
      </c>
      <c r="EG12" s="3" t="s">
        <v>126</v>
      </c>
      <c r="EH12" s="3">
        <f t="shared" si="50"/>
        <v>100</v>
      </c>
      <c r="EI12" s="3">
        <v>6000</v>
      </c>
      <c r="EJ12" s="7">
        <f t="shared" si="26"/>
        <v>600000</v>
      </c>
      <c r="EK12" s="3" t="s">
        <v>126</v>
      </c>
      <c r="EL12" s="3">
        <f t="shared" si="51"/>
        <v>50</v>
      </c>
      <c r="EM12" s="3">
        <v>3000</v>
      </c>
      <c r="EN12" s="3">
        <f t="shared" si="27"/>
        <v>150000</v>
      </c>
      <c r="EO12" s="3" t="s">
        <v>126</v>
      </c>
      <c r="EP12" s="3">
        <f t="shared" si="52"/>
        <v>0</v>
      </c>
      <c r="EQ12" s="3">
        <v>1000</v>
      </c>
      <c r="ER12" s="7">
        <f t="shared" si="53"/>
        <v>0</v>
      </c>
      <c r="ES12" s="3" t="s">
        <v>124</v>
      </c>
      <c r="ET12" s="3">
        <v>2</v>
      </c>
      <c r="EU12" s="3">
        <v>60000</v>
      </c>
      <c r="EV12" s="3">
        <f t="shared" si="28"/>
        <v>120000</v>
      </c>
      <c r="EW12" s="3" t="s">
        <v>124</v>
      </c>
      <c r="EX12" s="3">
        <v>0</v>
      </c>
      <c r="EY12" s="3">
        <v>60000</v>
      </c>
      <c r="EZ12" s="3">
        <f t="shared" si="29"/>
        <v>0</v>
      </c>
      <c r="FA12" s="3" t="s">
        <v>132</v>
      </c>
      <c r="FB12" s="3">
        <v>40</v>
      </c>
      <c r="FC12" s="3">
        <v>1000</v>
      </c>
      <c r="FD12" s="3">
        <f t="shared" si="30"/>
        <v>40000</v>
      </c>
      <c r="FE12" s="3" t="s">
        <v>126</v>
      </c>
      <c r="FF12" s="3">
        <f t="shared" si="54"/>
        <v>0</v>
      </c>
      <c r="FG12" s="3">
        <v>6000</v>
      </c>
      <c r="FH12" s="3">
        <f t="shared" si="31"/>
        <v>0</v>
      </c>
      <c r="FI12" s="1">
        <f t="shared" si="32"/>
        <v>1314800</v>
      </c>
      <c r="FJ12" s="3" t="s">
        <v>139</v>
      </c>
      <c r="FK12" s="3">
        <v>10</v>
      </c>
      <c r="FL12" s="3">
        <v>6000</v>
      </c>
      <c r="FM12" s="3">
        <f t="shared" si="33"/>
        <v>60000</v>
      </c>
      <c r="FN12" s="3" t="s">
        <v>139</v>
      </c>
      <c r="FO12" s="3">
        <v>10</v>
      </c>
      <c r="FP12" s="3">
        <v>6000</v>
      </c>
      <c r="FQ12" s="3">
        <f t="shared" si="55"/>
        <v>60000</v>
      </c>
      <c r="FR12" s="3" t="s">
        <v>139</v>
      </c>
      <c r="FS12" s="3"/>
      <c r="FT12" s="3">
        <v>6000</v>
      </c>
      <c r="FU12" s="3">
        <f t="shared" si="34"/>
        <v>0</v>
      </c>
      <c r="FV12" s="3" t="s">
        <v>139</v>
      </c>
      <c r="FW12" s="3"/>
      <c r="FX12" s="3">
        <v>8000</v>
      </c>
      <c r="FY12" s="3">
        <f t="shared" si="35"/>
        <v>0</v>
      </c>
      <c r="FZ12" s="3" t="s">
        <v>139</v>
      </c>
      <c r="GA12" s="3">
        <v>2</v>
      </c>
      <c r="GB12" s="3">
        <v>8000</v>
      </c>
      <c r="GC12" s="3">
        <f t="shared" si="36"/>
        <v>16000</v>
      </c>
      <c r="GD12" s="3" t="s">
        <v>139</v>
      </c>
      <c r="GE12" s="3">
        <v>10</v>
      </c>
      <c r="GF12" s="3">
        <v>10000</v>
      </c>
      <c r="GG12" s="3">
        <f t="shared" si="37"/>
        <v>100000</v>
      </c>
      <c r="GH12" s="3" t="s">
        <v>139</v>
      </c>
      <c r="GI12" s="3"/>
      <c r="GJ12" s="3"/>
      <c r="GK12" s="3">
        <f t="shared" si="38"/>
        <v>0</v>
      </c>
      <c r="GL12" s="92">
        <f t="shared" si="39"/>
        <v>236000</v>
      </c>
      <c r="GM12" s="8">
        <f t="shared" si="40"/>
        <v>1980800</v>
      </c>
      <c r="GN12" s="8">
        <f t="shared" si="41"/>
        <v>1000</v>
      </c>
      <c r="GO12" s="97">
        <v>2000</v>
      </c>
      <c r="GP12" s="8">
        <f t="shared" si="56"/>
        <v>2000000</v>
      </c>
      <c r="GQ12" s="8">
        <f t="shared" si="42"/>
        <v>5000000</v>
      </c>
      <c r="GR12" s="8">
        <f t="shared" si="43"/>
        <v>19200</v>
      </c>
      <c r="GS12" s="8">
        <f t="shared" si="44"/>
        <v>3019200</v>
      </c>
      <c r="GT12" s="3" t="s">
        <v>1727</v>
      </c>
      <c r="GU12" s="46"/>
    </row>
    <row r="13" spans="1:203" ht="158.25" customHeight="1">
      <c r="A13" s="44">
        <v>9</v>
      </c>
      <c r="B13" s="92" t="s">
        <v>17</v>
      </c>
      <c r="C13" s="3" t="s">
        <v>14</v>
      </c>
      <c r="D13" s="2" t="s">
        <v>711</v>
      </c>
      <c r="E13" s="3" t="s">
        <v>876</v>
      </c>
      <c r="F13" s="3" t="s">
        <v>713</v>
      </c>
      <c r="G13" s="2" t="s">
        <v>681</v>
      </c>
      <c r="H13" s="2" t="s">
        <v>45</v>
      </c>
      <c r="I13" s="10" t="s">
        <v>48</v>
      </c>
      <c r="J13" s="3" t="s">
        <v>697</v>
      </c>
      <c r="K13" s="3" t="s">
        <v>131</v>
      </c>
      <c r="L13" s="4" t="s">
        <v>566</v>
      </c>
      <c r="M13" s="2" t="s">
        <v>49</v>
      </c>
      <c r="N13" s="2" t="s">
        <v>371</v>
      </c>
      <c r="O13" s="9" t="s">
        <v>129</v>
      </c>
      <c r="P13" s="3" t="s">
        <v>159</v>
      </c>
      <c r="Q13" s="4" t="s">
        <v>128</v>
      </c>
      <c r="R13" s="3">
        <v>1.6</v>
      </c>
      <c r="S13" s="3">
        <v>6</v>
      </c>
      <c r="T13" s="3">
        <v>3000</v>
      </c>
      <c r="U13" s="3">
        <v>120</v>
      </c>
      <c r="V13" s="3">
        <v>180</v>
      </c>
      <c r="W13" s="11" t="s">
        <v>376</v>
      </c>
      <c r="X13" s="3">
        <v>1</v>
      </c>
      <c r="Y13" s="3">
        <v>2.5</v>
      </c>
      <c r="Z13" s="2" t="s">
        <v>373</v>
      </c>
      <c r="AA13" s="2" t="s">
        <v>50</v>
      </c>
      <c r="AB13" s="3" t="s">
        <v>130</v>
      </c>
      <c r="AC13" s="3">
        <v>50000</v>
      </c>
      <c r="AD13" s="3">
        <v>0</v>
      </c>
      <c r="AE13" s="3">
        <v>5</v>
      </c>
      <c r="AF13" s="3">
        <v>80000</v>
      </c>
      <c r="AG13" s="3">
        <f t="shared" si="45"/>
        <v>400000</v>
      </c>
      <c r="AH13" s="3" t="s">
        <v>161</v>
      </c>
      <c r="AI13" s="3">
        <v>0</v>
      </c>
      <c r="AJ13" s="2">
        <v>1000</v>
      </c>
      <c r="AK13" s="3">
        <v>100</v>
      </c>
      <c r="AL13" s="2">
        <f>6000</f>
        <v>6000</v>
      </c>
      <c r="AM13" s="3">
        <v>50</v>
      </c>
      <c r="AN13" s="2">
        <v>3000</v>
      </c>
      <c r="AO13" s="3"/>
      <c r="AP13" s="3"/>
      <c r="AQ13" s="2">
        <f t="shared" si="0"/>
        <v>750000</v>
      </c>
      <c r="AR13" s="3" t="s">
        <v>456</v>
      </c>
      <c r="AS13" s="3" t="s">
        <v>457</v>
      </c>
      <c r="AT13" s="3" t="s">
        <v>125</v>
      </c>
      <c r="AU13" s="3">
        <v>0</v>
      </c>
      <c r="AV13" s="3">
        <v>6000</v>
      </c>
      <c r="AW13" s="3">
        <f t="shared" si="1"/>
        <v>0</v>
      </c>
      <c r="AX13" s="3" t="s">
        <v>125</v>
      </c>
      <c r="AY13" s="3">
        <v>0</v>
      </c>
      <c r="AZ13" s="3">
        <v>6000</v>
      </c>
      <c r="BA13" s="3">
        <f t="shared" si="2"/>
        <v>0</v>
      </c>
      <c r="BB13" s="3" t="s">
        <v>125</v>
      </c>
      <c r="BC13" s="3">
        <v>0</v>
      </c>
      <c r="BD13" s="3">
        <v>6000</v>
      </c>
      <c r="BE13" s="3">
        <f t="shared" si="3"/>
        <v>0</v>
      </c>
      <c r="BF13" s="3" t="s">
        <v>125</v>
      </c>
      <c r="BG13" s="3">
        <v>0</v>
      </c>
      <c r="BH13" s="3">
        <v>6000</v>
      </c>
      <c r="BI13" s="3">
        <f t="shared" si="4"/>
        <v>0</v>
      </c>
      <c r="BJ13" s="3" t="s">
        <v>126</v>
      </c>
      <c r="BK13" s="3">
        <v>1</v>
      </c>
      <c r="BL13" s="3"/>
      <c r="BM13" s="3">
        <f t="shared" si="5"/>
        <v>0</v>
      </c>
      <c r="BN13" s="3" t="s">
        <v>125</v>
      </c>
      <c r="BO13" s="3">
        <v>1</v>
      </c>
      <c r="BP13" s="3"/>
      <c r="BQ13" s="3">
        <f t="shared" si="6"/>
        <v>0</v>
      </c>
      <c r="BR13" s="3" t="s">
        <v>125</v>
      </c>
      <c r="BS13" s="3">
        <v>1</v>
      </c>
      <c r="BT13" s="3"/>
      <c r="BU13" s="3">
        <f t="shared" si="7"/>
        <v>0</v>
      </c>
      <c r="BV13" s="3" t="s">
        <v>125</v>
      </c>
      <c r="BW13" s="3">
        <v>1</v>
      </c>
      <c r="BX13" s="3"/>
      <c r="BY13" s="3">
        <f t="shared" si="8"/>
        <v>0</v>
      </c>
      <c r="BZ13" s="92">
        <f t="shared" si="9"/>
        <v>0</v>
      </c>
      <c r="CA13" s="3" t="s">
        <v>125</v>
      </c>
      <c r="CB13" s="3">
        <v>5</v>
      </c>
      <c r="CC13" s="3">
        <v>8000</v>
      </c>
      <c r="CD13" s="3">
        <f t="shared" si="10"/>
        <v>40000</v>
      </c>
      <c r="CE13" s="3" t="s">
        <v>125</v>
      </c>
      <c r="CF13" s="3">
        <v>30</v>
      </c>
      <c r="CG13" s="3">
        <v>6000</v>
      </c>
      <c r="CH13" s="3">
        <f t="shared" si="11"/>
        <v>180000</v>
      </c>
      <c r="CI13" s="3" t="s">
        <v>139</v>
      </c>
      <c r="CJ13" s="3">
        <v>1</v>
      </c>
      <c r="CK13" s="3"/>
      <c r="CL13" s="3">
        <f t="shared" si="12"/>
        <v>0</v>
      </c>
      <c r="CM13" s="5">
        <f t="shared" si="13"/>
        <v>220000</v>
      </c>
      <c r="CN13" s="3" t="s">
        <v>125</v>
      </c>
      <c r="CO13" s="3">
        <v>10</v>
      </c>
      <c r="CP13" s="3">
        <v>6000</v>
      </c>
      <c r="CQ13" s="3">
        <f t="shared" si="14"/>
        <v>60000</v>
      </c>
      <c r="CR13" s="3" t="s">
        <v>125</v>
      </c>
      <c r="CS13" s="3">
        <v>0</v>
      </c>
      <c r="CT13" s="3">
        <v>6000</v>
      </c>
      <c r="CU13" s="3">
        <f t="shared" si="15"/>
        <v>0</v>
      </c>
      <c r="CV13" s="3" t="s">
        <v>125</v>
      </c>
      <c r="CW13" s="3">
        <v>15</v>
      </c>
      <c r="CX13" s="3">
        <v>6000</v>
      </c>
      <c r="CY13" s="3">
        <f t="shared" si="16"/>
        <v>90000</v>
      </c>
      <c r="CZ13" s="3" t="s">
        <v>125</v>
      </c>
      <c r="DA13" s="3">
        <v>5</v>
      </c>
      <c r="DB13" s="3">
        <v>6000</v>
      </c>
      <c r="DC13" s="3">
        <f t="shared" si="17"/>
        <v>30000</v>
      </c>
      <c r="DD13" s="3" t="s">
        <v>125</v>
      </c>
      <c r="DE13" s="3">
        <v>5</v>
      </c>
      <c r="DF13" s="3">
        <v>6000</v>
      </c>
      <c r="DG13" s="3">
        <f t="shared" si="18"/>
        <v>30000</v>
      </c>
      <c r="DH13" s="3" t="s">
        <v>125</v>
      </c>
      <c r="DI13" s="3"/>
      <c r="DJ13" s="3">
        <v>6000</v>
      </c>
      <c r="DK13" s="3">
        <f t="shared" si="19"/>
        <v>0</v>
      </c>
      <c r="DL13" s="3" t="s">
        <v>125</v>
      </c>
      <c r="DM13" s="3"/>
      <c r="DN13" s="3">
        <v>6000</v>
      </c>
      <c r="DO13" s="3">
        <f t="shared" si="20"/>
        <v>0</v>
      </c>
      <c r="DP13" s="3" t="s">
        <v>125</v>
      </c>
      <c r="DQ13" s="3"/>
      <c r="DR13" s="3">
        <v>6000</v>
      </c>
      <c r="DS13" s="3">
        <f t="shared" si="21"/>
        <v>0</v>
      </c>
      <c r="DT13" s="6">
        <f t="shared" si="22"/>
        <v>210000</v>
      </c>
      <c r="DU13" s="3" t="s">
        <v>20</v>
      </c>
      <c r="DV13" s="3">
        <f t="shared" si="46"/>
        <v>1.6</v>
      </c>
      <c r="DW13" s="3">
        <f t="shared" si="47"/>
        <v>3000</v>
      </c>
      <c r="DX13" s="3">
        <f t="shared" si="23"/>
        <v>4800</v>
      </c>
      <c r="DY13" s="3" t="s">
        <v>127</v>
      </c>
      <c r="DZ13" s="3">
        <f t="shared" si="48"/>
        <v>0</v>
      </c>
      <c r="EA13" s="3">
        <v>50000</v>
      </c>
      <c r="EB13" s="3">
        <f t="shared" si="24"/>
        <v>0</v>
      </c>
      <c r="EC13" s="3" t="s">
        <v>127</v>
      </c>
      <c r="ED13" s="3">
        <f t="shared" si="49"/>
        <v>5</v>
      </c>
      <c r="EE13" s="3">
        <v>80000</v>
      </c>
      <c r="EF13" s="3">
        <f t="shared" si="25"/>
        <v>400000</v>
      </c>
      <c r="EG13" s="3" t="s">
        <v>126</v>
      </c>
      <c r="EH13" s="3">
        <f t="shared" si="50"/>
        <v>100</v>
      </c>
      <c r="EI13" s="3">
        <v>6000</v>
      </c>
      <c r="EJ13" s="7">
        <f t="shared" si="26"/>
        <v>600000</v>
      </c>
      <c r="EK13" s="3" t="s">
        <v>126</v>
      </c>
      <c r="EL13" s="3">
        <f t="shared" si="51"/>
        <v>50</v>
      </c>
      <c r="EM13" s="3">
        <v>3000</v>
      </c>
      <c r="EN13" s="3">
        <f t="shared" si="27"/>
        <v>150000</v>
      </c>
      <c r="EO13" s="3" t="s">
        <v>126</v>
      </c>
      <c r="EP13" s="3">
        <f t="shared" si="52"/>
        <v>0</v>
      </c>
      <c r="EQ13" s="3">
        <v>1000</v>
      </c>
      <c r="ER13" s="7">
        <f t="shared" si="53"/>
        <v>0</v>
      </c>
      <c r="ES13" s="3" t="s">
        <v>124</v>
      </c>
      <c r="ET13" s="3">
        <v>2</v>
      </c>
      <c r="EU13" s="3">
        <v>60000</v>
      </c>
      <c r="EV13" s="3">
        <f t="shared" si="28"/>
        <v>120000</v>
      </c>
      <c r="EW13" s="3" t="s">
        <v>124</v>
      </c>
      <c r="EX13" s="3">
        <v>0</v>
      </c>
      <c r="EY13" s="3">
        <v>60000</v>
      </c>
      <c r="EZ13" s="3">
        <f t="shared" si="29"/>
        <v>0</v>
      </c>
      <c r="FA13" s="3" t="s">
        <v>132</v>
      </c>
      <c r="FB13" s="3">
        <v>40</v>
      </c>
      <c r="FC13" s="3">
        <v>1000</v>
      </c>
      <c r="FD13" s="3">
        <f t="shared" si="30"/>
        <v>40000</v>
      </c>
      <c r="FE13" s="3" t="s">
        <v>126</v>
      </c>
      <c r="FF13" s="3">
        <f t="shared" si="54"/>
        <v>0</v>
      </c>
      <c r="FG13" s="3">
        <v>6000</v>
      </c>
      <c r="FH13" s="3">
        <f t="shared" si="31"/>
        <v>0</v>
      </c>
      <c r="FI13" s="1">
        <f t="shared" si="32"/>
        <v>1314800</v>
      </c>
      <c r="FJ13" s="3" t="s">
        <v>139</v>
      </c>
      <c r="FK13" s="3">
        <v>10</v>
      </c>
      <c r="FL13" s="3">
        <v>6000</v>
      </c>
      <c r="FM13" s="3">
        <f t="shared" si="33"/>
        <v>60000</v>
      </c>
      <c r="FN13" s="3" t="s">
        <v>139</v>
      </c>
      <c r="FO13" s="3">
        <v>10</v>
      </c>
      <c r="FP13" s="3">
        <v>6000</v>
      </c>
      <c r="FQ13" s="3">
        <f t="shared" si="55"/>
        <v>60000</v>
      </c>
      <c r="FR13" s="3" t="s">
        <v>139</v>
      </c>
      <c r="FS13" s="3"/>
      <c r="FT13" s="3">
        <v>6000</v>
      </c>
      <c r="FU13" s="3">
        <f t="shared" si="34"/>
        <v>0</v>
      </c>
      <c r="FV13" s="3" t="s">
        <v>139</v>
      </c>
      <c r="FW13" s="3"/>
      <c r="FX13" s="3">
        <v>8000</v>
      </c>
      <c r="FY13" s="3">
        <f t="shared" si="35"/>
        <v>0</v>
      </c>
      <c r="FZ13" s="3" t="s">
        <v>139</v>
      </c>
      <c r="GA13" s="3">
        <v>2</v>
      </c>
      <c r="GB13" s="3">
        <v>8000</v>
      </c>
      <c r="GC13" s="3">
        <f t="shared" si="36"/>
        <v>16000</v>
      </c>
      <c r="GD13" s="3" t="s">
        <v>139</v>
      </c>
      <c r="GE13" s="3">
        <v>10</v>
      </c>
      <c r="GF13" s="3">
        <v>10000</v>
      </c>
      <c r="GG13" s="3">
        <f t="shared" si="37"/>
        <v>100000</v>
      </c>
      <c r="GH13" s="3" t="s">
        <v>139</v>
      </c>
      <c r="GI13" s="3"/>
      <c r="GJ13" s="3"/>
      <c r="GK13" s="3">
        <f t="shared" si="38"/>
        <v>0</v>
      </c>
      <c r="GL13" s="92">
        <f t="shared" si="39"/>
        <v>236000</v>
      </c>
      <c r="GM13" s="8">
        <f t="shared" si="40"/>
        <v>1980800</v>
      </c>
      <c r="GN13" s="8">
        <f t="shared" si="41"/>
        <v>1000</v>
      </c>
      <c r="GO13" s="97">
        <v>2000</v>
      </c>
      <c r="GP13" s="8">
        <f t="shared" si="56"/>
        <v>2000000</v>
      </c>
      <c r="GQ13" s="8">
        <f t="shared" si="42"/>
        <v>5000000</v>
      </c>
      <c r="GR13" s="8">
        <f t="shared" si="43"/>
        <v>19200</v>
      </c>
      <c r="GS13" s="8">
        <f t="shared" si="44"/>
        <v>3019200</v>
      </c>
      <c r="GT13" s="3" t="s">
        <v>1728</v>
      </c>
      <c r="GU13" s="46" t="s">
        <v>703</v>
      </c>
    </row>
    <row r="14" spans="1:203" s="25" customFormat="1" ht="158.25" customHeight="1">
      <c r="A14" s="44">
        <v>10</v>
      </c>
      <c r="B14" s="92" t="s">
        <v>37</v>
      </c>
      <c r="C14" s="3" t="s">
        <v>133</v>
      </c>
      <c r="D14" s="3" t="s">
        <v>134</v>
      </c>
      <c r="E14" s="3" t="s">
        <v>714</v>
      </c>
      <c r="F14" s="3" t="s">
        <v>714</v>
      </c>
      <c r="G14" s="2" t="s">
        <v>377</v>
      </c>
      <c r="H14" s="2" t="s">
        <v>60</v>
      </c>
      <c r="I14" s="3" t="s">
        <v>135</v>
      </c>
      <c r="J14" s="2" t="s">
        <v>378</v>
      </c>
      <c r="K14" s="2" t="s">
        <v>38</v>
      </c>
      <c r="L14" s="12" t="s">
        <v>379</v>
      </c>
      <c r="M14" s="2" t="s">
        <v>62</v>
      </c>
      <c r="N14" s="3" t="s">
        <v>163</v>
      </c>
      <c r="O14" s="3" t="s">
        <v>136</v>
      </c>
      <c r="P14" s="3" t="s">
        <v>137</v>
      </c>
      <c r="Q14" s="2" t="s">
        <v>128</v>
      </c>
      <c r="R14" s="3">
        <v>0.6</v>
      </c>
      <c r="S14" s="2">
        <v>1</v>
      </c>
      <c r="T14" s="2">
        <v>200000</v>
      </c>
      <c r="U14" s="3">
        <v>60</v>
      </c>
      <c r="V14" s="3">
        <v>105</v>
      </c>
      <c r="W14" s="3" t="s">
        <v>138</v>
      </c>
      <c r="X14" s="3">
        <v>20</v>
      </c>
      <c r="Y14" s="3">
        <v>40</v>
      </c>
      <c r="Z14" s="2" t="s">
        <v>380</v>
      </c>
      <c r="AA14" s="2" t="s">
        <v>381</v>
      </c>
      <c r="AB14" s="3" t="s">
        <v>165</v>
      </c>
      <c r="AC14" s="3">
        <v>50000</v>
      </c>
      <c r="AD14" s="3">
        <v>50</v>
      </c>
      <c r="AE14" s="3">
        <v>0</v>
      </c>
      <c r="AF14" s="3">
        <v>80000</v>
      </c>
      <c r="AG14" s="3">
        <f t="shared" si="45"/>
        <v>2500000</v>
      </c>
      <c r="AH14" s="3" t="s">
        <v>166</v>
      </c>
      <c r="AI14" s="3">
        <v>0</v>
      </c>
      <c r="AJ14" s="2">
        <v>1000</v>
      </c>
      <c r="AK14" s="3">
        <v>400</v>
      </c>
      <c r="AL14" s="2">
        <f>6000</f>
        <v>6000</v>
      </c>
      <c r="AM14" s="3">
        <v>400</v>
      </c>
      <c r="AN14" s="2">
        <v>3000</v>
      </c>
      <c r="AO14" s="3"/>
      <c r="AP14" s="3"/>
      <c r="AQ14" s="2">
        <f t="shared" si="0"/>
        <v>3600000</v>
      </c>
      <c r="AR14" s="3" t="s">
        <v>382</v>
      </c>
      <c r="AS14" s="2" t="s">
        <v>383</v>
      </c>
      <c r="AT14" s="2" t="s">
        <v>139</v>
      </c>
      <c r="AU14" s="13">
        <v>7.5</v>
      </c>
      <c r="AV14" s="3">
        <v>6000</v>
      </c>
      <c r="AW14" s="2">
        <f t="shared" si="1"/>
        <v>45000</v>
      </c>
      <c r="AX14" s="2" t="s">
        <v>139</v>
      </c>
      <c r="AY14" s="13">
        <v>5</v>
      </c>
      <c r="AZ14" s="3">
        <v>6000</v>
      </c>
      <c r="BA14" s="2">
        <f t="shared" ref="BA14" si="57">AY14*AZ14</f>
        <v>30000</v>
      </c>
      <c r="BB14" s="2" t="s">
        <v>139</v>
      </c>
      <c r="BC14" s="13">
        <v>2</v>
      </c>
      <c r="BD14" s="3">
        <v>6000</v>
      </c>
      <c r="BE14" s="3">
        <f t="shared" ref="BE14" si="58">BC14*BD14</f>
        <v>12000</v>
      </c>
      <c r="BF14" s="3" t="s">
        <v>125</v>
      </c>
      <c r="BG14" s="2">
        <v>2</v>
      </c>
      <c r="BH14" s="3">
        <v>6000</v>
      </c>
      <c r="BI14" s="3">
        <f t="shared" ref="BI14" si="59">BG14*BH14</f>
        <v>12000</v>
      </c>
      <c r="BJ14" s="3" t="s">
        <v>126</v>
      </c>
      <c r="BK14" s="13"/>
      <c r="BL14" s="3">
        <v>1000</v>
      </c>
      <c r="BM14" s="3">
        <f t="shared" si="5"/>
        <v>0</v>
      </c>
      <c r="BN14" s="13" t="s">
        <v>20</v>
      </c>
      <c r="BO14" s="13"/>
      <c r="BP14" s="2">
        <v>3000</v>
      </c>
      <c r="BQ14" s="3">
        <f>BO14*BP14</f>
        <v>0</v>
      </c>
      <c r="BR14" s="2" t="s">
        <v>126</v>
      </c>
      <c r="BS14" s="13"/>
      <c r="BT14" s="2">
        <f>6000</f>
        <v>6000</v>
      </c>
      <c r="BU14" s="3">
        <f t="shared" ref="BU14" si="60">BS14*BT14</f>
        <v>0</v>
      </c>
      <c r="BV14" s="2" t="s">
        <v>126</v>
      </c>
      <c r="BW14" s="13">
        <v>9</v>
      </c>
      <c r="BX14" s="2">
        <v>6000</v>
      </c>
      <c r="BY14" s="3">
        <f t="shared" si="8"/>
        <v>54000</v>
      </c>
      <c r="BZ14" s="92">
        <f t="shared" ref="BZ14" si="61">AW14+BE14+BM14+BQ14+BU14+BI14+BY14</f>
        <v>123000</v>
      </c>
      <c r="CA14" s="3" t="s">
        <v>125</v>
      </c>
      <c r="CB14" s="3">
        <v>5</v>
      </c>
      <c r="CC14" s="3">
        <v>8000</v>
      </c>
      <c r="CD14" s="3">
        <f t="shared" si="10"/>
        <v>40000</v>
      </c>
      <c r="CE14" s="3" t="s">
        <v>125</v>
      </c>
      <c r="CF14" s="3">
        <v>20</v>
      </c>
      <c r="CG14" s="3">
        <v>6000</v>
      </c>
      <c r="CH14" s="3">
        <f t="shared" si="11"/>
        <v>120000</v>
      </c>
      <c r="CI14" s="3" t="s">
        <v>139</v>
      </c>
      <c r="CJ14" s="3">
        <v>1</v>
      </c>
      <c r="CK14" s="3"/>
      <c r="CL14" s="3">
        <f t="shared" si="12"/>
        <v>0</v>
      </c>
      <c r="CM14" s="5">
        <f t="shared" si="13"/>
        <v>160000</v>
      </c>
      <c r="CN14" s="3" t="s">
        <v>125</v>
      </c>
      <c r="CO14" s="3">
        <v>0</v>
      </c>
      <c r="CP14" s="3">
        <v>6000</v>
      </c>
      <c r="CQ14" s="3">
        <f t="shared" si="14"/>
        <v>0</v>
      </c>
      <c r="CR14" s="3" t="s">
        <v>125</v>
      </c>
      <c r="CS14" s="3">
        <v>75</v>
      </c>
      <c r="CT14" s="3">
        <v>6000</v>
      </c>
      <c r="CU14" s="3">
        <f t="shared" si="15"/>
        <v>450000</v>
      </c>
      <c r="CV14" s="3" t="s">
        <v>125</v>
      </c>
      <c r="CW14" s="3">
        <v>30</v>
      </c>
      <c r="CX14" s="3">
        <v>6000</v>
      </c>
      <c r="CY14" s="3">
        <f t="shared" si="16"/>
        <v>180000</v>
      </c>
      <c r="CZ14" s="3" t="s">
        <v>125</v>
      </c>
      <c r="DA14" s="3">
        <v>15</v>
      </c>
      <c r="DB14" s="3">
        <v>6000</v>
      </c>
      <c r="DC14" s="3">
        <f t="shared" si="17"/>
        <v>90000</v>
      </c>
      <c r="DD14" s="3" t="s">
        <v>125</v>
      </c>
      <c r="DE14" s="3">
        <v>5</v>
      </c>
      <c r="DF14" s="3">
        <v>6000</v>
      </c>
      <c r="DG14" s="3">
        <f t="shared" si="18"/>
        <v>30000</v>
      </c>
      <c r="DH14" s="3" t="s">
        <v>125</v>
      </c>
      <c r="DI14" s="3">
        <v>100</v>
      </c>
      <c r="DJ14" s="3">
        <v>6000</v>
      </c>
      <c r="DK14" s="3">
        <f t="shared" si="19"/>
        <v>600000</v>
      </c>
      <c r="DL14" s="3" t="s">
        <v>125</v>
      </c>
      <c r="DM14" s="3"/>
      <c r="DN14" s="3">
        <v>6000</v>
      </c>
      <c r="DO14" s="3">
        <f t="shared" si="20"/>
        <v>0</v>
      </c>
      <c r="DP14" s="3" t="s">
        <v>125</v>
      </c>
      <c r="DQ14" s="3"/>
      <c r="DR14" s="3">
        <v>6000</v>
      </c>
      <c r="DS14" s="3">
        <f t="shared" si="21"/>
        <v>0</v>
      </c>
      <c r="DT14" s="6">
        <f t="shared" si="22"/>
        <v>1350000</v>
      </c>
      <c r="DU14" s="3" t="s">
        <v>20</v>
      </c>
      <c r="DV14" s="3">
        <f t="shared" si="46"/>
        <v>0.6</v>
      </c>
      <c r="DW14" s="3">
        <f t="shared" si="47"/>
        <v>200000</v>
      </c>
      <c r="DX14" s="3">
        <f t="shared" si="23"/>
        <v>120000</v>
      </c>
      <c r="DY14" s="3" t="s">
        <v>127</v>
      </c>
      <c r="DZ14" s="3">
        <f t="shared" si="48"/>
        <v>50</v>
      </c>
      <c r="EA14" s="3">
        <v>50000</v>
      </c>
      <c r="EB14" s="3">
        <f t="shared" si="24"/>
        <v>2500000</v>
      </c>
      <c r="EC14" s="3" t="s">
        <v>127</v>
      </c>
      <c r="ED14" s="3">
        <f t="shared" si="49"/>
        <v>0</v>
      </c>
      <c r="EE14" s="3">
        <v>80000</v>
      </c>
      <c r="EF14" s="3">
        <f t="shared" si="25"/>
        <v>0</v>
      </c>
      <c r="EG14" s="3" t="s">
        <v>126</v>
      </c>
      <c r="EH14" s="3">
        <f t="shared" si="50"/>
        <v>400</v>
      </c>
      <c r="EI14" s="3">
        <v>6000</v>
      </c>
      <c r="EJ14" s="7">
        <f t="shared" si="26"/>
        <v>2400000</v>
      </c>
      <c r="EK14" s="3" t="s">
        <v>126</v>
      </c>
      <c r="EL14" s="3">
        <f t="shared" si="51"/>
        <v>400</v>
      </c>
      <c r="EM14" s="3">
        <v>3000</v>
      </c>
      <c r="EN14" s="3">
        <f t="shared" si="27"/>
        <v>1200000</v>
      </c>
      <c r="EO14" s="3" t="s">
        <v>126</v>
      </c>
      <c r="EP14" s="3">
        <f t="shared" si="52"/>
        <v>0</v>
      </c>
      <c r="EQ14" s="3">
        <v>1000</v>
      </c>
      <c r="ER14" s="7">
        <f t="shared" si="53"/>
        <v>0</v>
      </c>
      <c r="ES14" s="3" t="s">
        <v>124</v>
      </c>
      <c r="ET14" s="3">
        <v>1</v>
      </c>
      <c r="EU14" s="3">
        <v>60000</v>
      </c>
      <c r="EV14" s="3">
        <f t="shared" si="28"/>
        <v>60000</v>
      </c>
      <c r="EW14" s="3" t="s">
        <v>124</v>
      </c>
      <c r="EX14" s="3">
        <v>15</v>
      </c>
      <c r="EY14" s="3">
        <v>60000</v>
      </c>
      <c r="EZ14" s="3">
        <f t="shared" si="29"/>
        <v>900000</v>
      </c>
      <c r="FA14" s="3"/>
      <c r="FB14" s="3"/>
      <c r="FC14" s="3">
        <v>1000</v>
      </c>
      <c r="FD14" s="3">
        <f t="shared" si="30"/>
        <v>0</v>
      </c>
      <c r="FE14" s="3" t="s">
        <v>126</v>
      </c>
      <c r="FF14" s="3">
        <f t="shared" si="54"/>
        <v>0</v>
      </c>
      <c r="FG14" s="3">
        <v>6000</v>
      </c>
      <c r="FH14" s="3">
        <f t="shared" si="31"/>
        <v>0</v>
      </c>
      <c r="FI14" s="1">
        <f t="shared" si="32"/>
        <v>7180000</v>
      </c>
      <c r="FJ14" s="3" t="s">
        <v>139</v>
      </c>
      <c r="FK14" s="3">
        <v>60</v>
      </c>
      <c r="FL14" s="3">
        <v>6000</v>
      </c>
      <c r="FM14" s="3">
        <f t="shared" si="33"/>
        <v>360000</v>
      </c>
      <c r="FN14" s="3" t="s">
        <v>139</v>
      </c>
      <c r="FO14" s="3">
        <v>0</v>
      </c>
      <c r="FP14" s="3">
        <v>6000</v>
      </c>
      <c r="FQ14" s="3">
        <f t="shared" si="55"/>
        <v>0</v>
      </c>
      <c r="FR14" s="3" t="s">
        <v>139</v>
      </c>
      <c r="FS14" s="3">
        <v>0</v>
      </c>
      <c r="FT14" s="3">
        <v>6000</v>
      </c>
      <c r="FU14" s="3">
        <f t="shared" si="34"/>
        <v>0</v>
      </c>
      <c r="FV14" s="3" t="s">
        <v>139</v>
      </c>
      <c r="FW14" s="3">
        <v>0</v>
      </c>
      <c r="FX14" s="3">
        <v>8000</v>
      </c>
      <c r="FY14" s="3">
        <f t="shared" si="35"/>
        <v>0</v>
      </c>
      <c r="FZ14" s="3" t="s">
        <v>139</v>
      </c>
      <c r="GA14" s="3">
        <v>2</v>
      </c>
      <c r="GB14" s="3">
        <v>8000</v>
      </c>
      <c r="GC14" s="3">
        <f t="shared" si="36"/>
        <v>16000</v>
      </c>
      <c r="GD14" s="3" t="s">
        <v>139</v>
      </c>
      <c r="GE14" s="3">
        <v>10</v>
      </c>
      <c r="GF14" s="3">
        <v>10000</v>
      </c>
      <c r="GG14" s="3">
        <f t="shared" si="37"/>
        <v>100000</v>
      </c>
      <c r="GH14" s="3" t="s">
        <v>139</v>
      </c>
      <c r="GI14" s="3"/>
      <c r="GJ14" s="3"/>
      <c r="GK14" s="3">
        <f t="shared" si="38"/>
        <v>0</v>
      </c>
      <c r="GL14" s="92">
        <f t="shared" si="39"/>
        <v>476000</v>
      </c>
      <c r="GM14" s="8">
        <f t="shared" si="40"/>
        <v>9289000</v>
      </c>
      <c r="GN14" s="8">
        <f t="shared" si="41"/>
        <v>20000</v>
      </c>
      <c r="GO14" s="97">
        <v>2000</v>
      </c>
      <c r="GP14" s="8">
        <f t="shared" si="56"/>
        <v>40000000</v>
      </c>
      <c r="GQ14" s="8">
        <f t="shared" si="42"/>
        <v>80000000</v>
      </c>
      <c r="GR14" s="8">
        <f t="shared" si="43"/>
        <v>30711000</v>
      </c>
      <c r="GS14" s="8">
        <f t="shared" si="44"/>
        <v>70711000</v>
      </c>
      <c r="GT14" s="3" t="s">
        <v>1730</v>
      </c>
      <c r="GU14" s="46" t="s">
        <v>1729</v>
      </c>
    </row>
    <row r="15" spans="1:203" ht="158.25" customHeight="1">
      <c r="A15" s="44">
        <v>11</v>
      </c>
      <c r="B15" s="92" t="s">
        <v>59</v>
      </c>
      <c r="C15" s="3" t="s">
        <v>140</v>
      </c>
      <c r="D15" s="3" t="s">
        <v>141</v>
      </c>
      <c r="E15" s="3" t="s">
        <v>715</v>
      </c>
      <c r="F15" s="3" t="s">
        <v>715</v>
      </c>
      <c r="G15" s="2" t="s">
        <v>384</v>
      </c>
      <c r="H15" s="2" t="s">
        <v>60</v>
      </c>
      <c r="I15" s="2" t="s">
        <v>385</v>
      </c>
      <c r="J15" s="3" t="s">
        <v>143</v>
      </c>
      <c r="K15" s="2" t="s">
        <v>61</v>
      </c>
      <c r="L15" s="2" t="s">
        <v>144</v>
      </c>
      <c r="M15" s="2" t="s">
        <v>62</v>
      </c>
      <c r="N15" s="2" t="s">
        <v>164</v>
      </c>
      <c r="O15" s="3" t="s">
        <v>145</v>
      </c>
      <c r="P15" s="2" t="s">
        <v>63</v>
      </c>
      <c r="Q15" s="2" t="s">
        <v>128</v>
      </c>
      <c r="R15" s="2"/>
      <c r="S15" s="2">
        <v>3</v>
      </c>
      <c r="T15" s="2">
        <v>200000</v>
      </c>
      <c r="U15" s="3">
        <v>90</v>
      </c>
      <c r="V15" s="3">
        <v>120</v>
      </c>
      <c r="W15" s="2" t="s">
        <v>64</v>
      </c>
      <c r="X15" s="3">
        <v>7</v>
      </c>
      <c r="Y15" s="3">
        <v>10</v>
      </c>
      <c r="Z15" s="2" t="s">
        <v>65</v>
      </c>
      <c r="AA15" s="3" t="s">
        <v>167</v>
      </c>
      <c r="AB15" s="3" t="s">
        <v>147</v>
      </c>
      <c r="AC15" s="3">
        <v>50000</v>
      </c>
      <c r="AD15" s="2">
        <v>0</v>
      </c>
      <c r="AE15" s="2">
        <v>40</v>
      </c>
      <c r="AF15" s="3">
        <v>80000</v>
      </c>
      <c r="AG15" s="3">
        <f t="shared" si="45"/>
        <v>3200000</v>
      </c>
      <c r="AH15" s="2" t="s">
        <v>168</v>
      </c>
      <c r="AI15" s="2">
        <v>0</v>
      </c>
      <c r="AJ15" s="2">
        <v>1000</v>
      </c>
      <c r="AK15" s="2">
        <v>500</v>
      </c>
      <c r="AL15" s="2">
        <f>6000</f>
        <v>6000</v>
      </c>
      <c r="AM15" s="2"/>
      <c r="AN15" s="2">
        <v>3000</v>
      </c>
      <c r="AO15" s="2">
        <v>200</v>
      </c>
      <c r="AP15" s="2">
        <v>6000</v>
      </c>
      <c r="AQ15" s="2">
        <f t="shared" si="0"/>
        <v>4200000</v>
      </c>
      <c r="AR15" s="2" t="s">
        <v>66</v>
      </c>
      <c r="AS15" s="2" t="s">
        <v>67</v>
      </c>
      <c r="AT15" s="2"/>
      <c r="AU15" s="2"/>
      <c r="AV15" s="3">
        <v>6000</v>
      </c>
      <c r="AW15" s="2">
        <f t="shared" si="1"/>
        <v>0</v>
      </c>
      <c r="AX15" s="2"/>
      <c r="AY15" s="2"/>
      <c r="AZ15" s="3">
        <v>6000</v>
      </c>
      <c r="BA15" s="2">
        <f t="shared" si="2"/>
        <v>0</v>
      </c>
      <c r="BB15" s="2"/>
      <c r="BC15" s="2"/>
      <c r="BD15" s="3">
        <v>6000</v>
      </c>
      <c r="BE15" s="3">
        <f t="shared" si="3"/>
        <v>0</v>
      </c>
      <c r="BF15" s="3" t="s">
        <v>125</v>
      </c>
      <c r="BG15" s="2"/>
      <c r="BH15" s="3">
        <v>6000</v>
      </c>
      <c r="BI15" s="3">
        <f t="shared" si="4"/>
        <v>0</v>
      </c>
      <c r="BJ15" s="3" t="s">
        <v>126</v>
      </c>
      <c r="BK15" s="2"/>
      <c r="BL15" s="3">
        <v>1000</v>
      </c>
      <c r="BM15" s="3">
        <f t="shared" ref="BM15:BM73" si="62">BK15*BL15</f>
        <v>0</v>
      </c>
      <c r="BN15" s="2"/>
      <c r="BO15" s="2"/>
      <c r="BP15" s="2"/>
      <c r="BQ15" s="3">
        <f t="shared" si="6"/>
        <v>0</v>
      </c>
      <c r="BR15" s="2"/>
      <c r="BS15" s="2"/>
      <c r="BT15" s="2"/>
      <c r="BU15" s="3">
        <f t="shared" si="7"/>
        <v>0</v>
      </c>
      <c r="BV15" s="2"/>
      <c r="BW15" s="2"/>
      <c r="BX15" s="2"/>
      <c r="BY15" s="3">
        <f t="shared" si="8"/>
        <v>0</v>
      </c>
      <c r="BZ15" s="92">
        <f t="shared" si="9"/>
        <v>0</v>
      </c>
      <c r="CA15" s="2"/>
      <c r="CB15" s="3">
        <v>5</v>
      </c>
      <c r="CC15" s="3">
        <v>8000</v>
      </c>
      <c r="CD15" s="3">
        <f t="shared" si="10"/>
        <v>40000</v>
      </c>
      <c r="CE15" s="3" t="s">
        <v>125</v>
      </c>
      <c r="CF15" s="3">
        <v>30</v>
      </c>
      <c r="CG15" s="3">
        <v>6000</v>
      </c>
      <c r="CH15" s="3">
        <f t="shared" si="11"/>
        <v>180000</v>
      </c>
      <c r="CI15" s="3" t="s">
        <v>139</v>
      </c>
      <c r="CJ15" s="3">
        <v>1</v>
      </c>
      <c r="CK15" s="2"/>
      <c r="CL15" s="3">
        <f t="shared" si="12"/>
        <v>0</v>
      </c>
      <c r="CM15" s="5">
        <f t="shared" si="13"/>
        <v>220000</v>
      </c>
      <c r="CN15" s="2"/>
      <c r="CO15" s="2"/>
      <c r="CP15" s="2"/>
      <c r="CQ15" s="2">
        <f t="shared" si="14"/>
        <v>0</v>
      </c>
      <c r="CR15" s="2" t="s">
        <v>139</v>
      </c>
      <c r="CS15" s="2">
        <v>80</v>
      </c>
      <c r="CT15" s="2">
        <v>6000</v>
      </c>
      <c r="CU15" s="2">
        <f t="shared" si="15"/>
        <v>480000</v>
      </c>
      <c r="CV15" s="2" t="s">
        <v>139</v>
      </c>
      <c r="CW15" s="2">
        <v>30</v>
      </c>
      <c r="CX15" s="2">
        <v>6000</v>
      </c>
      <c r="CY15" s="2">
        <f t="shared" si="16"/>
        <v>180000</v>
      </c>
      <c r="CZ15" s="2" t="s">
        <v>139</v>
      </c>
      <c r="DA15" s="2">
        <v>15</v>
      </c>
      <c r="DB15" s="2">
        <v>6000</v>
      </c>
      <c r="DC15" s="2">
        <f t="shared" si="17"/>
        <v>90000</v>
      </c>
      <c r="DD15" s="2" t="s">
        <v>139</v>
      </c>
      <c r="DE15" s="2">
        <v>5</v>
      </c>
      <c r="DF15" s="2">
        <v>6000</v>
      </c>
      <c r="DG15" s="2">
        <f t="shared" si="18"/>
        <v>30000</v>
      </c>
      <c r="DH15" s="2" t="s">
        <v>139</v>
      </c>
      <c r="DI15" s="2">
        <v>150</v>
      </c>
      <c r="DJ15" s="2">
        <v>6000</v>
      </c>
      <c r="DK15" s="2">
        <f t="shared" si="19"/>
        <v>900000</v>
      </c>
      <c r="DL15" s="3" t="s">
        <v>125</v>
      </c>
      <c r="DM15" s="2"/>
      <c r="DN15" s="3">
        <v>6000</v>
      </c>
      <c r="DO15" s="2">
        <f t="shared" si="20"/>
        <v>0</v>
      </c>
      <c r="DP15" s="3" t="s">
        <v>125</v>
      </c>
      <c r="DQ15" s="2"/>
      <c r="DR15" s="3">
        <v>6000</v>
      </c>
      <c r="DS15" s="2">
        <f t="shared" si="21"/>
        <v>0</v>
      </c>
      <c r="DT15" s="6">
        <f t="shared" si="22"/>
        <v>1680000</v>
      </c>
      <c r="DU15" s="2" t="s">
        <v>126</v>
      </c>
      <c r="DV15" s="3">
        <f t="shared" si="46"/>
        <v>0</v>
      </c>
      <c r="DW15" s="3">
        <f t="shared" si="47"/>
        <v>200000</v>
      </c>
      <c r="DX15" s="3">
        <f t="shared" si="23"/>
        <v>0</v>
      </c>
      <c r="DY15" s="3" t="s">
        <v>127</v>
      </c>
      <c r="DZ15" s="3">
        <f t="shared" si="48"/>
        <v>0</v>
      </c>
      <c r="EA15" s="2"/>
      <c r="EB15" s="3">
        <f t="shared" si="24"/>
        <v>0</v>
      </c>
      <c r="EC15" s="2" t="s">
        <v>127</v>
      </c>
      <c r="ED15" s="3">
        <f t="shared" si="49"/>
        <v>40</v>
      </c>
      <c r="EE15" s="3">
        <v>80000</v>
      </c>
      <c r="EF15" s="3">
        <f t="shared" si="25"/>
        <v>3200000</v>
      </c>
      <c r="EG15" s="2" t="s">
        <v>126</v>
      </c>
      <c r="EH15" s="3">
        <f t="shared" si="50"/>
        <v>500</v>
      </c>
      <c r="EI15" s="3">
        <v>6000</v>
      </c>
      <c r="EJ15" s="7">
        <f t="shared" si="26"/>
        <v>3000000</v>
      </c>
      <c r="EK15" s="2"/>
      <c r="EL15" s="2"/>
      <c r="EM15" s="3">
        <v>3000</v>
      </c>
      <c r="EN15" s="3">
        <f t="shared" si="27"/>
        <v>0</v>
      </c>
      <c r="EO15" s="3" t="s">
        <v>126</v>
      </c>
      <c r="EP15" s="3">
        <f t="shared" si="52"/>
        <v>0</v>
      </c>
      <c r="EQ15" s="3">
        <v>1000</v>
      </c>
      <c r="ER15" s="7">
        <f t="shared" si="53"/>
        <v>0</v>
      </c>
      <c r="ES15" s="3" t="s">
        <v>124</v>
      </c>
      <c r="ET15" s="2">
        <v>1</v>
      </c>
      <c r="EU15" s="3">
        <v>60000</v>
      </c>
      <c r="EV15" s="3">
        <f t="shared" si="28"/>
        <v>60000</v>
      </c>
      <c r="EW15" s="3" t="s">
        <v>124</v>
      </c>
      <c r="EX15" s="2">
        <v>15</v>
      </c>
      <c r="EY15" s="3">
        <v>60000</v>
      </c>
      <c r="EZ15" s="3">
        <f t="shared" si="29"/>
        <v>900000</v>
      </c>
      <c r="FA15" s="2"/>
      <c r="FB15" s="2"/>
      <c r="FC15" s="3">
        <v>1000</v>
      </c>
      <c r="FD15" s="3">
        <f t="shared" si="30"/>
        <v>0</v>
      </c>
      <c r="FE15" s="3" t="s">
        <v>126</v>
      </c>
      <c r="FF15" s="3">
        <f t="shared" si="54"/>
        <v>200</v>
      </c>
      <c r="FG15" s="3">
        <v>6000</v>
      </c>
      <c r="FH15" s="3">
        <f t="shared" si="31"/>
        <v>1200000</v>
      </c>
      <c r="FI15" s="1">
        <f t="shared" si="32"/>
        <v>8360000</v>
      </c>
      <c r="FJ15" s="3" t="s">
        <v>139</v>
      </c>
      <c r="FK15" s="2">
        <v>60</v>
      </c>
      <c r="FL15" s="2">
        <v>6000</v>
      </c>
      <c r="FM15" s="3">
        <f t="shared" si="33"/>
        <v>360000</v>
      </c>
      <c r="FN15" s="3" t="s">
        <v>139</v>
      </c>
      <c r="FO15" s="2"/>
      <c r="FP15" s="3">
        <v>6000</v>
      </c>
      <c r="FQ15" s="3">
        <f t="shared" si="55"/>
        <v>0</v>
      </c>
      <c r="FR15" s="3" t="s">
        <v>139</v>
      </c>
      <c r="FS15" s="2"/>
      <c r="FT15" s="2"/>
      <c r="FU15" s="3">
        <f t="shared" si="34"/>
        <v>0</v>
      </c>
      <c r="FV15" s="3" t="s">
        <v>139</v>
      </c>
      <c r="FW15" s="2"/>
      <c r="FX15" s="3">
        <v>8000</v>
      </c>
      <c r="FY15" s="3">
        <f t="shared" si="35"/>
        <v>0</v>
      </c>
      <c r="FZ15" s="3" t="s">
        <v>139</v>
      </c>
      <c r="GA15" s="3">
        <v>2</v>
      </c>
      <c r="GB15" s="3">
        <v>8000</v>
      </c>
      <c r="GC15" s="3">
        <f t="shared" si="36"/>
        <v>16000</v>
      </c>
      <c r="GD15" s="3" t="s">
        <v>139</v>
      </c>
      <c r="GE15" s="3">
        <v>10</v>
      </c>
      <c r="GF15" s="3">
        <v>10000</v>
      </c>
      <c r="GG15" s="3">
        <f t="shared" si="37"/>
        <v>100000</v>
      </c>
      <c r="GH15" s="3" t="s">
        <v>139</v>
      </c>
      <c r="GI15" s="2"/>
      <c r="GJ15" s="2"/>
      <c r="GK15" s="3">
        <f t="shared" si="38"/>
        <v>0</v>
      </c>
      <c r="GL15" s="92">
        <f t="shared" si="39"/>
        <v>476000</v>
      </c>
      <c r="GM15" s="8">
        <f t="shared" si="40"/>
        <v>10736000</v>
      </c>
      <c r="GN15" s="8">
        <f t="shared" si="41"/>
        <v>7000</v>
      </c>
      <c r="GO15" s="98">
        <v>3000</v>
      </c>
      <c r="GP15" s="8">
        <f t="shared" si="56"/>
        <v>21000000</v>
      </c>
      <c r="GQ15" s="8">
        <f t="shared" si="42"/>
        <v>30000000</v>
      </c>
      <c r="GR15" s="8">
        <f t="shared" si="43"/>
        <v>10264000</v>
      </c>
      <c r="GS15" s="8">
        <f t="shared" si="44"/>
        <v>19264000</v>
      </c>
      <c r="GT15" s="3" t="s">
        <v>1731</v>
      </c>
      <c r="GU15" s="46"/>
    </row>
    <row r="16" spans="1:203" ht="158.25" customHeight="1">
      <c r="A16" s="44">
        <v>12</v>
      </c>
      <c r="B16" s="92" t="s">
        <v>59</v>
      </c>
      <c r="C16" s="3" t="s">
        <v>140</v>
      </c>
      <c r="D16" s="3" t="s">
        <v>142</v>
      </c>
      <c r="E16" s="3" t="s">
        <v>716</v>
      </c>
      <c r="F16" s="3" t="s">
        <v>716</v>
      </c>
      <c r="G16" s="2" t="s">
        <v>682</v>
      </c>
      <c r="H16" s="2" t="s">
        <v>60</v>
      </c>
      <c r="I16" s="2" t="s">
        <v>385</v>
      </c>
      <c r="J16" s="3" t="s">
        <v>143</v>
      </c>
      <c r="K16" s="2" t="s">
        <v>61</v>
      </c>
      <c r="L16" s="2" t="s">
        <v>144</v>
      </c>
      <c r="M16" s="2" t="s">
        <v>62</v>
      </c>
      <c r="N16" s="2" t="s">
        <v>68</v>
      </c>
      <c r="O16" s="3" t="s">
        <v>146</v>
      </c>
      <c r="P16" s="2" t="s">
        <v>63</v>
      </c>
      <c r="Q16" s="2" t="s">
        <v>128</v>
      </c>
      <c r="R16" s="2"/>
      <c r="S16" s="2">
        <v>3</v>
      </c>
      <c r="T16" s="2">
        <v>200000</v>
      </c>
      <c r="U16" s="3">
        <v>90</v>
      </c>
      <c r="V16" s="3">
        <v>120</v>
      </c>
      <c r="W16" s="2" t="s">
        <v>64</v>
      </c>
      <c r="X16" s="3">
        <v>7</v>
      </c>
      <c r="Y16" s="3">
        <v>10</v>
      </c>
      <c r="Z16" s="2" t="s">
        <v>65</v>
      </c>
      <c r="AA16" s="3" t="s">
        <v>167</v>
      </c>
      <c r="AB16" s="3" t="s">
        <v>147</v>
      </c>
      <c r="AC16" s="3">
        <v>50000</v>
      </c>
      <c r="AD16" s="2">
        <v>0</v>
      </c>
      <c r="AE16" s="2">
        <v>40</v>
      </c>
      <c r="AF16" s="3">
        <v>80000</v>
      </c>
      <c r="AG16" s="3">
        <f t="shared" si="45"/>
        <v>3200000</v>
      </c>
      <c r="AH16" s="2" t="s">
        <v>168</v>
      </c>
      <c r="AI16" s="2">
        <v>0</v>
      </c>
      <c r="AJ16" s="2">
        <v>1000</v>
      </c>
      <c r="AK16" s="2">
        <v>500</v>
      </c>
      <c r="AL16" s="2">
        <f>6000</f>
        <v>6000</v>
      </c>
      <c r="AM16" s="2"/>
      <c r="AN16" s="2">
        <v>3000</v>
      </c>
      <c r="AO16" s="2">
        <v>200</v>
      </c>
      <c r="AP16" s="2">
        <v>6000</v>
      </c>
      <c r="AQ16" s="2">
        <f t="shared" si="0"/>
        <v>4200000</v>
      </c>
      <c r="AR16" s="2" t="s">
        <v>66</v>
      </c>
      <c r="AS16" s="2" t="s">
        <v>67</v>
      </c>
      <c r="AT16" s="2"/>
      <c r="AU16" s="2"/>
      <c r="AV16" s="3">
        <v>6000</v>
      </c>
      <c r="AW16" s="2">
        <f t="shared" si="1"/>
        <v>0</v>
      </c>
      <c r="AX16" s="2"/>
      <c r="AY16" s="2"/>
      <c r="AZ16" s="3">
        <v>6000</v>
      </c>
      <c r="BA16" s="2">
        <f t="shared" si="2"/>
        <v>0</v>
      </c>
      <c r="BB16" s="2"/>
      <c r="BC16" s="2"/>
      <c r="BD16" s="3">
        <v>6000</v>
      </c>
      <c r="BE16" s="3">
        <f t="shared" si="3"/>
        <v>0</v>
      </c>
      <c r="BF16" s="3" t="s">
        <v>125</v>
      </c>
      <c r="BG16" s="2"/>
      <c r="BH16" s="3">
        <v>6000</v>
      </c>
      <c r="BI16" s="3">
        <f t="shared" si="4"/>
        <v>0</v>
      </c>
      <c r="BJ16" s="3" t="s">
        <v>126</v>
      </c>
      <c r="BK16" s="2"/>
      <c r="BL16" s="3">
        <v>1000</v>
      </c>
      <c r="BM16" s="3">
        <f t="shared" si="62"/>
        <v>0</v>
      </c>
      <c r="BN16" s="2"/>
      <c r="BO16" s="2"/>
      <c r="BP16" s="2"/>
      <c r="BQ16" s="3">
        <f t="shared" si="6"/>
        <v>0</v>
      </c>
      <c r="BR16" s="2"/>
      <c r="BS16" s="2"/>
      <c r="BT16" s="2"/>
      <c r="BU16" s="3">
        <f t="shared" si="7"/>
        <v>0</v>
      </c>
      <c r="BV16" s="2"/>
      <c r="BW16" s="2"/>
      <c r="BX16" s="2"/>
      <c r="BY16" s="3">
        <f t="shared" si="8"/>
        <v>0</v>
      </c>
      <c r="BZ16" s="92">
        <f t="shared" si="9"/>
        <v>0</v>
      </c>
      <c r="CA16" s="2"/>
      <c r="CB16" s="3">
        <v>5</v>
      </c>
      <c r="CC16" s="3">
        <v>8000</v>
      </c>
      <c r="CD16" s="3">
        <f t="shared" si="10"/>
        <v>40000</v>
      </c>
      <c r="CE16" s="3" t="s">
        <v>125</v>
      </c>
      <c r="CF16" s="3">
        <v>30</v>
      </c>
      <c r="CG16" s="3">
        <v>6000</v>
      </c>
      <c r="CH16" s="3">
        <f t="shared" si="11"/>
        <v>180000</v>
      </c>
      <c r="CI16" s="3" t="s">
        <v>139</v>
      </c>
      <c r="CJ16" s="3">
        <v>1</v>
      </c>
      <c r="CK16" s="2"/>
      <c r="CL16" s="3">
        <f t="shared" si="12"/>
        <v>0</v>
      </c>
      <c r="CM16" s="5">
        <f t="shared" si="13"/>
        <v>220000</v>
      </c>
      <c r="CN16" s="2"/>
      <c r="CO16" s="2"/>
      <c r="CP16" s="2"/>
      <c r="CQ16" s="2">
        <f t="shared" si="14"/>
        <v>0</v>
      </c>
      <c r="CR16" s="2" t="s">
        <v>139</v>
      </c>
      <c r="CS16" s="2">
        <v>80</v>
      </c>
      <c r="CT16" s="2">
        <v>6000</v>
      </c>
      <c r="CU16" s="2">
        <f t="shared" si="15"/>
        <v>480000</v>
      </c>
      <c r="CV16" s="2" t="s">
        <v>139</v>
      </c>
      <c r="CW16" s="2">
        <v>30</v>
      </c>
      <c r="CX16" s="2">
        <v>6000</v>
      </c>
      <c r="CY16" s="2">
        <f t="shared" si="16"/>
        <v>180000</v>
      </c>
      <c r="CZ16" s="2" t="s">
        <v>139</v>
      </c>
      <c r="DA16" s="2">
        <v>15</v>
      </c>
      <c r="DB16" s="2">
        <v>6000</v>
      </c>
      <c r="DC16" s="2">
        <f t="shared" si="17"/>
        <v>90000</v>
      </c>
      <c r="DD16" s="2" t="s">
        <v>139</v>
      </c>
      <c r="DE16" s="2">
        <v>5</v>
      </c>
      <c r="DF16" s="2">
        <v>6000</v>
      </c>
      <c r="DG16" s="2">
        <f t="shared" si="18"/>
        <v>30000</v>
      </c>
      <c r="DH16" s="2" t="s">
        <v>139</v>
      </c>
      <c r="DI16" s="2">
        <v>150</v>
      </c>
      <c r="DJ16" s="2">
        <v>6000</v>
      </c>
      <c r="DK16" s="2">
        <f t="shared" si="19"/>
        <v>900000</v>
      </c>
      <c r="DL16" s="3" t="s">
        <v>125</v>
      </c>
      <c r="DM16" s="2"/>
      <c r="DN16" s="3">
        <v>6000</v>
      </c>
      <c r="DO16" s="2">
        <f t="shared" si="20"/>
        <v>0</v>
      </c>
      <c r="DP16" s="3" t="s">
        <v>125</v>
      </c>
      <c r="DQ16" s="2"/>
      <c r="DR16" s="3">
        <v>6000</v>
      </c>
      <c r="DS16" s="2">
        <f t="shared" si="21"/>
        <v>0</v>
      </c>
      <c r="DT16" s="6">
        <f t="shared" si="22"/>
        <v>1680000</v>
      </c>
      <c r="DU16" s="2" t="s">
        <v>126</v>
      </c>
      <c r="DV16" s="3">
        <f t="shared" si="46"/>
        <v>0</v>
      </c>
      <c r="DW16" s="3">
        <f t="shared" si="47"/>
        <v>200000</v>
      </c>
      <c r="DX16" s="3">
        <f t="shared" si="23"/>
        <v>0</v>
      </c>
      <c r="DY16" s="3" t="s">
        <v>127</v>
      </c>
      <c r="DZ16" s="3">
        <f t="shared" si="48"/>
        <v>0</v>
      </c>
      <c r="EA16" s="2"/>
      <c r="EB16" s="3">
        <f t="shared" si="24"/>
        <v>0</v>
      </c>
      <c r="EC16" s="2" t="s">
        <v>127</v>
      </c>
      <c r="ED16" s="3">
        <f t="shared" si="49"/>
        <v>40</v>
      </c>
      <c r="EE16" s="3">
        <v>80000</v>
      </c>
      <c r="EF16" s="3">
        <f t="shared" si="25"/>
        <v>3200000</v>
      </c>
      <c r="EG16" s="2" t="s">
        <v>126</v>
      </c>
      <c r="EH16" s="3">
        <f t="shared" si="50"/>
        <v>500</v>
      </c>
      <c r="EI16" s="3">
        <v>6000</v>
      </c>
      <c r="EJ16" s="7">
        <f t="shared" si="26"/>
        <v>3000000</v>
      </c>
      <c r="EK16" s="2"/>
      <c r="EL16" s="2"/>
      <c r="EM16" s="3">
        <v>3000</v>
      </c>
      <c r="EN16" s="3">
        <f t="shared" si="27"/>
        <v>0</v>
      </c>
      <c r="EO16" s="3" t="s">
        <v>126</v>
      </c>
      <c r="EP16" s="3">
        <f t="shared" si="52"/>
        <v>0</v>
      </c>
      <c r="EQ16" s="3">
        <v>1000</v>
      </c>
      <c r="ER16" s="7">
        <f t="shared" si="53"/>
        <v>0</v>
      </c>
      <c r="ES16" s="3" t="s">
        <v>124</v>
      </c>
      <c r="ET16" s="2">
        <v>1</v>
      </c>
      <c r="EU16" s="3">
        <v>60000</v>
      </c>
      <c r="EV16" s="3">
        <f t="shared" si="28"/>
        <v>60000</v>
      </c>
      <c r="EW16" s="3" t="s">
        <v>124</v>
      </c>
      <c r="EX16" s="2">
        <v>15</v>
      </c>
      <c r="EY16" s="3">
        <v>60000</v>
      </c>
      <c r="EZ16" s="3">
        <f t="shared" si="29"/>
        <v>900000</v>
      </c>
      <c r="FA16" s="2"/>
      <c r="FB16" s="2"/>
      <c r="FC16" s="3">
        <v>1000</v>
      </c>
      <c r="FD16" s="3">
        <f t="shared" si="30"/>
        <v>0</v>
      </c>
      <c r="FE16" s="3" t="s">
        <v>126</v>
      </c>
      <c r="FF16" s="3">
        <f t="shared" si="54"/>
        <v>200</v>
      </c>
      <c r="FG16" s="3">
        <v>6000</v>
      </c>
      <c r="FH16" s="3">
        <f t="shared" si="31"/>
        <v>1200000</v>
      </c>
      <c r="FI16" s="1">
        <f t="shared" si="32"/>
        <v>8360000</v>
      </c>
      <c r="FJ16" s="3" t="s">
        <v>139</v>
      </c>
      <c r="FK16" s="2">
        <v>60</v>
      </c>
      <c r="FL16" s="2">
        <v>6000</v>
      </c>
      <c r="FM16" s="3">
        <f t="shared" si="33"/>
        <v>360000</v>
      </c>
      <c r="FN16" s="3" t="s">
        <v>139</v>
      </c>
      <c r="FO16" s="2"/>
      <c r="FP16" s="3">
        <v>6000</v>
      </c>
      <c r="FQ16" s="3">
        <f t="shared" si="55"/>
        <v>0</v>
      </c>
      <c r="FR16" s="3" t="s">
        <v>139</v>
      </c>
      <c r="FS16" s="2"/>
      <c r="FT16" s="2"/>
      <c r="FU16" s="3">
        <f t="shared" si="34"/>
        <v>0</v>
      </c>
      <c r="FV16" s="3" t="s">
        <v>139</v>
      </c>
      <c r="FW16" s="2"/>
      <c r="FX16" s="3">
        <v>8000</v>
      </c>
      <c r="FY16" s="3">
        <f t="shared" si="35"/>
        <v>0</v>
      </c>
      <c r="FZ16" s="3" t="s">
        <v>139</v>
      </c>
      <c r="GA16" s="3">
        <v>2</v>
      </c>
      <c r="GB16" s="3">
        <v>8000</v>
      </c>
      <c r="GC16" s="3">
        <f t="shared" si="36"/>
        <v>16000</v>
      </c>
      <c r="GD16" s="3" t="s">
        <v>139</v>
      </c>
      <c r="GE16" s="3">
        <v>10</v>
      </c>
      <c r="GF16" s="3">
        <v>10000</v>
      </c>
      <c r="GG16" s="3">
        <f t="shared" si="37"/>
        <v>100000</v>
      </c>
      <c r="GH16" s="3" t="s">
        <v>139</v>
      </c>
      <c r="GI16" s="2"/>
      <c r="GJ16" s="2"/>
      <c r="GK16" s="3">
        <f t="shared" si="38"/>
        <v>0</v>
      </c>
      <c r="GL16" s="92">
        <f t="shared" si="39"/>
        <v>476000</v>
      </c>
      <c r="GM16" s="8">
        <f t="shared" si="40"/>
        <v>10736000</v>
      </c>
      <c r="GN16" s="8">
        <f t="shared" si="41"/>
        <v>7000</v>
      </c>
      <c r="GO16" s="98">
        <v>3000</v>
      </c>
      <c r="GP16" s="8">
        <f t="shared" si="56"/>
        <v>21000000</v>
      </c>
      <c r="GQ16" s="8">
        <f t="shared" si="42"/>
        <v>30000000</v>
      </c>
      <c r="GR16" s="8">
        <f t="shared" si="43"/>
        <v>10264000</v>
      </c>
      <c r="GS16" s="8">
        <f t="shared" si="44"/>
        <v>19264000</v>
      </c>
      <c r="GT16" s="3" t="s">
        <v>1732</v>
      </c>
      <c r="GU16" s="46"/>
    </row>
    <row r="17" spans="1:203" ht="158.25" customHeight="1">
      <c r="A17" s="44">
        <v>13</v>
      </c>
      <c r="B17" s="92" t="s">
        <v>35</v>
      </c>
      <c r="C17" s="3" t="s">
        <v>148</v>
      </c>
      <c r="D17" s="2" t="s">
        <v>69</v>
      </c>
      <c r="E17" s="2" t="s">
        <v>878</v>
      </c>
      <c r="F17" s="3" t="s">
        <v>717</v>
      </c>
      <c r="G17" s="2" t="s">
        <v>169</v>
      </c>
      <c r="H17" s="2" t="s">
        <v>45</v>
      </c>
      <c r="I17" s="2" t="s">
        <v>386</v>
      </c>
      <c r="J17" s="2" t="s">
        <v>387</v>
      </c>
      <c r="K17" s="2" t="s">
        <v>70</v>
      </c>
      <c r="L17" s="2" t="s">
        <v>71</v>
      </c>
      <c r="M17" s="2" t="s">
        <v>62</v>
      </c>
      <c r="N17" s="3" t="s">
        <v>150</v>
      </c>
      <c r="O17" s="3" t="s">
        <v>149</v>
      </c>
      <c r="P17" s="3" t="s">
        <v>151</v>
      </c>
      <c r="Q17" s="2" t="s">
        <v>128</v>
      </c>
      <c r="R17" s="2">
        <v>2</v>
      </c>
      <c r="S17" s="2">
        <v>13.5</v>
      </c>
      <c r="T17" s="2">
        <v>200000</v>
      </c>
      <c r="U17" s="3">
        <v>120</v>
      </c>
      <c r="V17" s="3">
        <v>170</v>
      </c>
      <c r="W17" s="2" t="s">
        <v>152</v>
      </c>
      <c r="X17" s="3">
        <v>15</v>
      </c>
      <c r="Y17" s="3">
        <v>25</v>
      </c>
      <c r="Z17" s="2" t="s">
        <v>388</v>
      </c>
      <c r="AA17" s="2" t="s">
        <v>389</v>
      </c>
      <c r="AB17" s="2" t="s">
        <v>153</v>
      </c>
      <c r="AC17" s="3">
        <v>50000</v>
      </c>
      <c r="AD17" s="2">
        <v>20</v>
      </c>
      <c r="AE17" s="2">
        <v>0</v>
      </c>
      <c r="AF17" s="3">
        <v>80000</v>
      </c>
      <c r="AG17" s="3">
        <f t="shared" si="45"/>
        <v>1000000</v>
      </c>
      <c r="AH17" s="3" t="s">
        <v>390</v>
      </c>
      <c r="AI17" s="2">
        <v>8.1</v>
      </c>
      <c r="AJ17" s="2">
        <v>1000</v>
      </c>
      <c r="AK17" s="2">
        <v>17.100000000000001</v>
      </c>
      <c r="AL17" s="2">
        <f>6000</f>
        <v>6000</v>
      </c>
      <c r="AM17" s="2">
        <f>3+60</f>
        <v>63</v>
      </c>
      <c r="AN17" s="2">
        <v>3000</v>
      </c>
      <c r="AO17" s="2">
        <f>2.58+200</f>
        <v>202.58</v>
      </c>
      <c r="AP17" s="2">
        <v>6000</v>
      </c>
      <c r="AQ17" s="2">
        <f t="shared" si="0"/>
        <v>1515180</v>
      </c>
      <c r="AR17" s="3" t="s">
        <v>391</v>
      </c>
      <c r="AS17" s="3" t="s">
        <v>392</v>
      </c>
      <c r="AT17" s="2" t="s">
        <v>139</v>
      </c>
      <c r="AU17" s="2">
        <v>7.5</v>
      </c>
      <c r="AV17" s="3">
        <v>6000</v>
      </c>
      <c r="AW17" s="2">
        <f t="shared" si="1"/>
        <v>45000</v>
      </c>
      <c r="AX17" s="2" t="s">
        <v>139</v>
      </c>
      <c r="AY17" s="2">
        <v>5</v>
      </c>
      <c r="AZ17" s="3">
        <v>6000</v>
      </c>
      <c r="BA17" s="2">
        <f t="shared" si="2"/>
        <v>30000</v>
      </c>
      <c r="BB17" s="2" t="s">
        <v>139</v>
      </c>
      <c r="BC17" s="2">
        <v>2</v>
      </c>
      <c r="BD17" s="3">
        <v>6000</v>
      </c>
      <c r="BE17" s="3">
        <f t="shared" si="3"/>
        <v>12000</v>
      </c>
      <c r="BF17" s="3" t="s">
        <v>125</v>
      </c>
      <c r="BG17" s="2">
        <v>2</v>
      </c>
      <c r="BH17" s="3">
        <v>6000</v>
      </c>
      <c r="BI17" s="3">
        <f t="shared" si="4"/>
        <v>12000</v>
      </c>
      <c r="BJ17" s="3" t="s">
        <v>126</v>
      </c>
      <c r="BK17" s="2"/>
      <c r="BL17" s="3">
        <v>1000</v>
      </c>
      <c r="BM17" s="3">
        <f t="shared" si="62"/>
        <v>0</v>
      </c>
      <c r="BN17" s="2" t="s">
        <v>126</v>
      </c>
      <c r="BO17" s="2">
        <v>3</v>
      </c>
      <c r="BP17" s="2">
        <v>3000</v>
      </c>
      <c r="BQ17" s="3">
        <f t="shared" si="6"/>
        <v>9000</v>
      </c>
      <c r="BR17" s="2" t="s">
        <v>126</v>
      </c>
      <c r="BS17" s="2">
        <v>2.58</v>
      </c>
      <c r="BT17" s="2">
        <f>6000</f>
        <v>6000</v>
      </c>
      <c r="BU17" s="3">
        <f t="shared" si="7"/>
        <v>15480</v>
      </c>
      <c r="BV17" s="2" t="s">
        <v>126</v>
      </c>
      <c r="BW17" s="2">
        <v>17.100000000000001</v>
      </c>
      <c r="BX17" s="2">
        <v>6000</v>
      </c>
      <c r="BY17" s="3">
        <f t="shared" si="8"/>
        <v>102600.00000000001</v>
      </c>
      <c r="BZ17" s="92">
        <f t="shared" si="9"/>
        <v>196080</v>
      </c>
      <c r="CA17" s="2" t="s">
        <v>139</v>
      </c>
      <c r="CB17" s="3">
        <v>5</v>
      </c>
      <c r="CC17" s="3">
        <v>8000</v>
      </c>
      <c r="CD17" s="3">
        <f t="shared" si="10"/>
        <v>40000</v>
      </c>
      <c r="CE17" s="2" t="s">
        <v>139</v>
      </c>
      <c r="CF17" s="2">
        <v>30</v>
      </c>
      <c r="CG17" s="2">
        <v>6000</v>
      </c>
      <c r="CH17" s="3">
        <f t="shared" si="11"/>
        <v>180000</v>
      </c>
      <c r="CI17" s="3" t="s">
        <v>139</v>
      </c>
      <c r="CJ17" s="3">
        <v>1</v>
      </c>
      <c r="CK17" s="2"/>
      <c r="CL17" s="3">
        <f t="shared" si="12"/>
        <v>0</v>
      </c>
      <c r="CM17" s="5">
        <f t="shared" si="13"/>
        <v>220000</v>
      </c>
      <c r="CN17" s="3" t="s">
        <v>125</v>
      </c>
      <c r="CO17" s="3">
        <v>0</v>
      </c>
      <c r="CP17" s="3">
        <v>6000</v>
      </c>
      <c r="CQ17" s="3">
        <f t="shared" ref="CQ17:CQ18" si="63">CO17*CP17</f>
        <v>0</v>
      </c>
      <c r="CR17" s="3" t="s">
        <v>125</v>
      </c>
      <c r="CS17" s="3">
        <v>75</v>
      </c>
      <c r="CT17" s="3">
        <v>6000</v>
      </c>
      <c r="CU17" s="3">
        <f t="shared" ref="CU17:CU18" si="64">CS17*CT17</f>
        <v>450000</v>
      </c>
      <c r="CV17" s="3" t="s">
        <v>125</v>
      </c>
      <c r="CW17" s="3">
        <v>30</v>
      </c>
      <c r="CX17" s="3">
        <v>6000</v>
      </c>
      <c r="CY17" s="3">
        <f t="shared" ref="CY17:CY18" si="65">CW17*CX17</f>
        <v>180000</v>
      </c>
      <c r="CZ17" s="3" t="s">
        <v>125</v>
      </c>
      <c r="DA17" s="3">
        <v>15</v>
      </c>
      <c r="DB17" s="3">
        <v>6000</v>
      </c>
      <c r="DC17" s="3">
        <f t="shared" ref="DC17:DC18" si="66">DA17*DB17</f>
        <v>90000</v>
      </c>
      <c r="DD17" s="3" t="s">
        <v>125</v>
      </c>
      <c r="DE17" s="3">
        <v>5</v>
      </c>
      <c r="DF17" s="3">
        <v>6000</v>
      </c>
      <c r="DG17" s="3">
        <f t="shared" ref="DG17:DG18" si="67">DE17*DF17</f>
        <v>30000</v>
      </c>
      <c r="DH17" s="3" t="s">
        <v>125</v>
      </c>
      <c r="DI17" s="3">
        <v>100</v>
      </c>
      <c r="DJ17" s="3">
        <v>6000</v>
      </c>
      <c r="DK17" s="3">
        <f t="shared" ref="DK17:DK18" si="68">DI17*DJ17</f>
        <v>600000</v>
      </c>
      <c r="DL17" s="3" t="s">
        <v>125</v>
      </c>
      <c r="DM17" s="3"/>
      <c r="DN17" s="3">
        <v>6000</v>
      </c>
      <c r="DO17" s="3">
        <f t="shared" ref="DO17:DO18" si="69">DM17*DN17</f>
        <v>0</v>
      </c>
      <c r="DP17" s="3" t="s">
        <v>125</v>
      </c>
      <c r="DQ17" s="3"/>
      <c r="DR17" s="3">
        <v>6000</v>
      </c>
      <c r="DS17" s="3">
        <f t="shared" ref="DS17:DS18" si="70">DQ17*DR17</f>
        <v>0</v>
      </c>
      <c r="DT17" s="6">
        <f t="shared" ref="DT17:DT18" si="71">CQ17+CU17+CY17+DC17+DG17+DK17+DO17+DS17</f>
        <v>1350000</v>
      </c>
      <c r="DU17" s="2" t="s">
        <v>157</v>
      </c>
      <c r="DV17" s="3">
        <f t="shared" si="46"/>
        <v>2</v>
      </c>
      <c r="DW17" s="3">
        <f t="shared" si="47"/>
        <v>200000</v>
      </c>
      <c r="DX17" s="3">
        <f t="shared" si="23"/>
        <v>400000</v>
      </c>
      <c r="DY17" s="3" t="s">
        <v>127</v>
      </c>
      <c r="DZ17" s="3">
        <f t="shared" si="48"/>
        <v>20</v>
      </c>
      <c r="EA17" s="2">
        <v>50000</v>
      </c>
      <c r="EB17" s="3">
        <f t="shared" si="24"/>
        <v>1000000</v>
      </c>
      <c r="EC17" s="2"/>
      <c r="ED17" s="3">
        <f t="shared" si="49"/>
        <v>0</v>
      </c>
      <c r="EE17" s="3">
        <v>80000</v>
      </c>
      <c r="EF17" s="3">
        <f t="shared" si="25"/>
        <v>0</v>
      </c>
      <c r="EG17" s="2" t="s">
        <v>157</v>
      </c>
      <c r="EH17" s="3">
        <f t="shared" si="50"/>
        <v>17.100000000000001</v>
      </c>
      <c r="EI17" s="3">
        <v>6000</v>
      </c>
      <c r="EJ17" s="7">
        <f t="shared" si="26"/>
        <v>102600.00000000001</v>
      </c>
      <c r="EK17" s="2" t="s">
        <v>157</v>
      </c>
      <c r="EL17" s="2">
        <v>60</v>
      </c>
      <c r="EM17" s="3">
        <v>3000</v>
      </c>
      <c r="EN17" s="3">
        <f t="shared" si="27"/>
        <v>180000</v>
      </c>
      <c r="EO17" s="3" t="s">
        <v>126</v>
      </c>
      <c r="EP17" s="3">
        <f t="shared" si="52"/>
        <v>8.1</v>
      </c>
      <c r="EQ17" s="3">
        <v>1000</v>
      </c>
      <c r="ER17" s="7">
        <f t="shared" si="53"/>
        <v>8100</v>
      </c>
      <c r="ES17" s="3" t="s">
        <v>124</v>
      </c>
      <c r="ET17" s="2">
        <v>0.9</v>
      </c>
      <c r="EU17" s="3">
        <v>60000</v>
      </c>
      <c r="EV17" s="3">
        <f t="shared" si="28"/>
        <v>54000</v>
      </c>
      <c r="EW17" s="3" t="s">
        <v>124</v>
      </c>
      <c r="EX17" s="2">
        <v>15.25</v>
      </c>
      <c r="EY17" s="3">
        <v>60000</v>
      </c>
      <c r="EZ17" s="3">
        <f t="shared" si="29"/>
        <v>915000</v>
      </c>
      <c r="FA17" s="2"/>
      <c r="FB17" s="2"/>
      <c r="FC17" s="3">
        <v>1000</v>
      </c>
      <c r="FD17" s="3">
        <f t="shared" si="30"/>
        <v>0</v>
      </c>
      <c r="FE17" s="3" t="s">
        <v>126</v>
      </c>
      <c r="FF17" s="3">
        <f t="shared" si="54"/>
        <v>202.58</v>
      </c>
      <c r="FG17" s="3">
        <v>6000</v>
      </c>
      <c r="FH17" s="3">
        <f t="shared" si="31"/>
        <v>1215480</v>
      </c>
      <c r="FI17" s="1">
        <f t="shared" si="32"/>
        <v>3875180</v>
      </c>
      <c r="FJ17" s="3" t="s">
        <v>139</v>
      </c>
      <c r="FK17" s="2">
        <v>60</v>
      </c>
      <c r="FL17" s="2">
        <v>6000</v>
      </c>
      <c r="FM17" s="3">
        <f t="shared" si="33"/>
        <v>360000</v>
      </c>
      <c r="FN17" s="3" t="s">
        <v>139</v>
      </c>
      <c r="FO17" s="2"/>
      <c r="FP17" s="3">
        <v>6000</v>
      </c>
      <c r="FQ17" s="3">
        <f t="shared" si="55"/>
        <v>0</v>
      </c>
      <c r="FR17" s="3" t="s">
        <v>139</v>
      </c>
      <c r="FS17" s="2"/>
      <c r="FT17" s="2"/>
      <c r="FU17" s="3">
        <f t="shared" si="34"/>
        <v>0</v>
      </c>
      <c r="FV17" s="3" t="s">
        <v>139</v>
      </c>
      <c r="FW17" s="2"/>
      <c r="FX17" s="3">
        <v>8000</v>
      </c>
      <c r="FY17" s="3">
        <f t="shared" si="35"/>
        <v>0</v>
      </c>
      <c r="FZ17" s="3" t="s">
        <v>139</v>
      </c>
      <c r="GA17" s="3">
        <v>2</v>
      </c>
      <c r="GB17" s="3">
        <v>8000</v>
      </c>
      <c r="GC17" s="3">
        <f t="shared" si="36"/>
        <v>16000</v>
      </c>
      <c r="GD17" s="3" t="s">
        <v>139</v>
      </c>
      <c r="GE17" s="3">
        <v>10</v>
      </c>
      <c r="GF17" s="3">
        <v>10000</v>
      </c>
      <c r="GG17" s="3">
        <f t="shared" si="37"/>
        <v>100000</v>
      </c>
      <c r="GH17" s="3" t="s">
        <v>139</v>
      </c>
      <c r="GI17" s="2"/>
      <c r="GJ17" s="2"/>
      <c r="GK17" s="3">
        <f t="shared" si="38"/>
        <v>0</v>
      </c>
      <c r="GL17" s="92">
        <f t="shared" si="39"/>
        <v>476000</v>
      </c>
      <c r="GM17" s="8">
        <f t="shared" si="40"/>
        <v>6117260</v>
      </c>
      <c r="GN17" s="8">
        <f t="shared" si="41"/>
        <v>15000</v>
      </c>
      <c r="GO17" s="98">
        <v>2000</v>
      </c>
      <c r="GP17" s="8">
        <f t="shared" si="56"/>
        <v>30000000</v>
      </c>
      <c r="GQ17" s="8">
        <f t="shared" si="42"/>
        <v>50000000</v>
      </c>
      <c r="GR17" s="8">
        <f t="shared" si="43"/>
        <v>23882740</v>
      </c>
      <c r="GS17" s="8">
        <f t="shared" si="44"/>
        <v>43882740</v>
      </c>
      <c r="GT17" s="3" t="s">
        <v>1734</v>
      </c>
      <c r="GU17" s="46" t="s">
        <v>1733</v>
      </c>
    </row>
    <row r="18" spans="1:203" ht="158.25" customHeight="1">
      <c r="A18" s="44">
        <v>14</v>
      </c>
      <c r="B18" s="92" t="s">
        <v>35</v>
      </c>
      <c r="C18" s="3" t="s">
        <v>148</v>
      </c>
      <c r="D18" s="2" t="s">
        <v>72</v>
      </c>
      <c r="E18" s="3" t="s">
        <v>877</v>
      </c>
      <c r="F18" s="3" t="s">
        <v>718</v>
      </c>
      <c r="G18" s="2" t="s">
        <v>169</v>
      </c>
      <c r="H18" s="2" t="s">
        <v>45</v>
      </c>
      <c r="I18" s="2" t="s">
        <v>386</v>
      </c>
      <c r="J18" s="2" t="s">
        <v>387</v>
      </c>
      <c r="K18" s="2" t="s">
        <v>70</v>
      </c>
      <c r="L18" s="2" t="s">
        <v>71</v>
      </c>
      <c r="M18" s="2" t="s">
        <v>62</v>
      </c>
      <c r="N18" s="3" t="s">
        <v>150</v>
      </c>
      <c r="O18" s="3" t="s">
        <v>149</v>
      </c>
      <c r="P18" s="3" t="s">
        <v>151</v>
      </c>
      <c r="Q18" s="2" t="s">
        <v>128</v>
      </c>
      <c r="R18" s="2">
        <v>2</v>
      </c>
      <c r="S18" s="2">
        <v>13.5</v>
      </c>
      <c r="T18" s="2">
        <v>200000</v>
      </c>
      <c r="U18" s="3">
        <v>120</v>
      </c>
      <c r="V18" s="3">
        <v>170</v>
      </c>
      <c r="W18" s="2" t="s">
        <v>152</v>
      </c>
      <c r="X18" s="3">
        <v>15</v>
      </c>
      <c r="Y18" s="3">
        <v>25</v>
      </c>
      <c r="Z18" s="2" t="s">
        <v>388</v>
      </c>
      <c r="AA18" s="2" t="s">
        <v>389</v>
      </c>
      <c r="AB18" s="2" t="s">
        <v>153</v>
      </c>
      <c r="AC18" s="3">
        <v>50000</v>
      </c>
      <c r="AD18" s="2">
        <v>20</v>
      </c>
      <c r="AE18" s="2">
        <v>0</v>
      </c>
      <c r="AF18" s="3">
        <v>80000</v>
      </c>
      <c r="AG18" s="3">
        <f t="shared" si="45"/>
        <v>1000000</v>
      </c>
      <c r="AH18" s="3" t="s">
        <v>390</v>
      </c>
      <c r="AI18" s="2">
        <v>8.1</v>
      </c>
      <c r="AJ18" s="2">
        <v>1000</v>
      </c>
      <c r="AK18" s="2">
        <v>17.100000000000001</v>
      </c>
      <c r="AL18" s="2">
        <f>6000</f>
        <v>6000</v>
      </c>
      <c r="AM18" s="2">
        <f>3+60</f>
        <v>63</v>
      </c>
      <c r="AN18" s="2">
        <v>3000</v>
      </c>
      <c r="AO18" s="2">
        <f>2.58+200</f>
        <v>202.58</v>
      </c>
      <c r="AP18" s="2">
        <v>6000</v>
      </c>
      <c r="AQ18" s="2">
        <f t="shared" si="0"/>
        <v>1515180</v>
      </c>
      <c r="AR18" s="3" t="s">
        <v>391</v>
      </c>
      <c r="AS18" s="3" t="s">
        <v>392</v>
      </c>
      <c r="AT18" s="2" t="s">
        <v>139</v>
      </c>
      <c r="AU18" s="2">
        <v>7.5</v>
      </c>
      <c r="AV18" s="3">
        <v>6000</v>
      </c>
      <c r="AW18" s="2">
        <f t="shared" si="1"/>
        <v>45000</v>
      </c>
      <c r="AX18" s="2" t="s">
        <v>139</v>
      </c>
      <c r="AY18" s="2">
        <v>5</v>
      </c>
      <c r="AZ18" s="3">
        <v>6000</v>
      </c>
      <c r="BA18" s="2">
        <f t="shared" si="2"/>
        <v>30000</v>
      </c>
      <c r="BB18" s="2" t="s">
        <v>139</v>
      </c>
      <c r="BC18" s="2">
        <v>2</v>
      </c>
      <c r="BD18" s="3">
        <v>6000</v>
      </c>
      <c r="BE18" s="3">
        <f t="shared" si="3"/>
        <v>12000</v>
      </c>
      <c r="BF18" s="3" t="s">
        <v>125</v>
      </c>
      <c r="BG18" s="2">
        <v>2</v>
      </c>
      <c r="BH18" s="3">
        <v>6000</v>
      </c>
      <c r="BI18" s="3">
        <f t="shared" si="4"/>
        <v>12000</v>
      </c>
      <c r="BJ18" s="3" t="s">
        <v>126</v>
      </c>
      <c r="BK18" s="2"/>
      <c r="BL18" s="3">
        <v>1000</v>
      </c>
      <c r="BM18" s="3">
        <f t="shared" si="62"/>
        <v>0</v>
      </c>
      <c r="BN18" s="2" t="s">
        <v>126</v>
      </c>
      <c r="BO18" s="2">
        <v>3</v>
      </c>
      <c r="BP18" s="2">
        <v>3000</v>
      </c>
      <c r="BQ18" s="3">
        <f t="shared" si="6"/>
        <v>9000</v>
      </c>
      <c r="BR18" s="2" t="s">
        <v>126</v>
      </c>
      <c r="BS18" s="2">
        <v>2.58</v>
      </c>
      <c r="BT18" s="2">
        <f>6000</f>
        <v>6000</v>
      </c>
      <c r="BU18" s="3">
        <f t="shared" si="7"/>
        <v>15480</v>
      </c>
      <c r="BV18" s="2" t="s">
        <v>126</v>
      </c>
      <c r="BW18" s="2">
        <v>17.100000000000001</v>
      </c>
      <c r="BX18" s="2">
        <v>6000</v>
      </c>
      <c r="BY18" s="3">
        <f t="shared" si="8"/>
        <v>102600.00000000001</v>
      </c>
      <c r="BZ18" s="92">
        <f t="shared" si="9"/>
        <v>196080</v>
      </c>
      <c r="CA18" s="2" t="s">
        <v>139</v>
      </c>
      <c r="CB18" s="3">
        <v>5</v>
      </c>
      <c r="CC18" s="3">
        <v>8000</v>
      </c>
      <c r="CD18" s="3">
        <f t="shared" si="10"/>
        <v>40000</v>
      </c>
      <c r="CE18" s="2" t="s">
        <v>139</v>
      </c>
      <c r="CF18" s="2">
        <v>30</v>
      </c>
      <c r="CG18" s="2">
        <v>6000</v>
      </c>
      <c r="CH18" s="3">
        <f t="shared" si="11"/>
        <v>180000</v>
      </c>
      <c r="CI18" s="3" t="s">
        <v>139</v>
      </c>
      <c r="CJ18" s="3">
        <v>1</v>
      </c>
      <c r="CK18" s="2"/>
      <c r="CL18" s="3">
        <f t="shared" si="12"/>
        <v>0</v>
      </c>
      <c r="CM18" s="5">
        <f t="shared" si="13"/>
        <v>220000</v>
      </c>
      <c r="CN18" s="3" t="s">
        <v>125</v>
      </c>
      <c r="CO18" s="3">
        <v>0</v>
      </c>
      <c r="CP18" s="3">
        <v>6000</v>
      </c>
      <c r="CQ18" s="3">
        <f t="shared" si="63"/>
        <v>0</v>
      </c>
      <c r="CR18" s="3" t="s">
        <v>125</v>
      </c>
      <c r="CS18" s="3">
        <v>75</v>
      </c>
      <c r="CT18" s="3">
        <v>6000</v>
      </c>
      <c r="CU18" s="3">
        <f t="shared" si="64"/>
        <v>450000</v>
      </c>
      <c r="CV18" s="3" t="s">
        <v>125</v>
      </c>
      <c r="CW18" s="3">
        <v>30</v>
      </c>
      <c r="CX18" s="3">
        <v>6000</v>
      </c>
      <c r="CY18" s="3">
        <f t="shared" si="65"/>
        <v>180000</v>
      </c>
      <c r="CZ18" s="3" t="s">
        <v>125</v>
      </c>
      <c r="DA18" s="3">
        <v>15</v>
      </c>
      <c r="DB18" s="3">
        <v>6000</v>
      </c>
      <c r="DC18" s="3">
        <f t="shared" si="66"/>
        <v>90000</v>
      </c>
      <c r="DD18" s="3" t="s">
        <v>125</v>
      </c>
      <c r="DE18" s="3">
        <v>5</v>
      </c>
      <c r="DF18" s="3">
        <v>6000</v>
      </c>
      <c r="DG18" s="3">
        <f t="shared" si="67"/>
        <v>30000</v>
      </c>
      <c r="DH18" s="3" t="s">
        <v>125</v>
      </c>
      <c r="DI18" s="3">
        <v>100</v>
      </c>
      <c r="DJ18" s="3">
        <v>6000</v>
      </c>
      <c r="DK18" s="3">
        <f t="shared" si="68"/>
        <v>600000</v>
      </c>
      <c r="DL18" s="3" t="s">
        <v>125</v>
      </c>
      <c r="DM18" s="3"/>
      <c r="DN18" s="3">
        <v>6000</v>
      </c>
      <c r="DO18" s="3">
        <f t="shared" si="69"/>
        <v>0</v>
      </c>
      <c r="DP18" s="3" t="s">
        <v>125</v>
      </c>
      <c r="DQ18" s="3"/>
      <c r="DR18" s="3">
        <v>6000</v>
      </c>
      <c r="DS18" s="3">
        <f t="shared" si="70"/>
        <v>0</v>
      </c>
      <c r="DT18" s="6">
        <f t="shared" si="71"/>
        <v>1350000</v>
      </c>
      <c r="DU18" s="2" t="s">
        <v>157</v>
      </c>
      <c r="DV18" s="3">
        <f t="shared" si="46"/>
        <v>2</v>
      </c>
      <c r="DW18" s="3">
        <f t="shared" si="47"/>
        <v>200000</v>
      </c>
      <c r="DX18" s="3">
        <f t="shared" si="23"/>
        <v>400000</v>
      </c>
      <c r="DY18" s="3" t="s">
        <v>127</v>
      </c>
      <c r="DZ18" s="3">
        <f t="shared" si="48"/>
        <v>20</v>
      </c>
      <c r="EA18" s="2">
        <v>50000</v>
      </c>
      <c r="EB18" s="3">
        <f t="shared" si="24"/>
        <v>1000000</v>
      </c>
      <c r="EC18" s="2" t="s">
        <v>127</v>
      </c>
      <c r="ED18" s="3">
        <f t="shared" si="49"/>
        <v>0</v>
      </c>
      <c r="EE18" s="3">
        <v>80000</v>
      </c>
      <c r="EF18" s="3">
        <f t="shared" si="25"/>
        <v>0</v>
      </c>
      <c r="EG18" s="2" t="s">
        <v>157</v>
      </c>
      <c r="EH18" s="3">
        <f t="shared" si="50"/>
        <v>17.100000000000001</v>
      </c>
      <c r="EI18" s="3">
        <v>6000</v>
      </c>
      <c r="EJ18" s="7">
        <f t="shared" si="26"/>
        <v>102600.00000000001</v>
      </c>
      <c r="EK18" s="2" t="s">
        <v>157</v>
      </c>
      <c r="EL18" s="2">
        <v>60</v>
      </c>
      <c r="EM18" s="3">
        <v>3000</v>
      </c>
      <c r="EN18" s="3">
        <f t="shared" si="27"/>
        <v>180000</v>
      </c>
      <c r="EO18" s="3" t="s">
        <v>126</v>
      </c>
      <c r="EP18" s="3">
        <f t="shared" si="52"/>
        <v>8.1</v>
      </c>
      <c r="EQ18" s="3">
        <v>1000</v>
      </c>
      <c r="ER18" s="7">
        <f t="shared" si="53"/>
        <v>8100</v>
      </c>
      <c r="ES18" s="3" t="s">
        <v>124</v>
      </c>
      <c r="ET18" s="2">
        <v>0.9</v>
      </c>
      <c r="EU18" s="3">
        <v>60000</v>
      </c>
      <c r="EV18" s="3">
        <f t="shared" si="28"/>
        <v>54000</v>
      </c>
      <c r="EW18" s="3" t="s">
        <v>124</v>
      </c>
      <c r="EX18" s="2">
        <v>15.25</v>
      </c>
      <c r="EY18" s="3">
        <v>60000</v>
      </c>
      <c r="EZ18" s="3">
        <f t="shared" si="29"/>
        <v>915000</v>
      </c>
      <c r="FA18" s="2" t="s">
        <v>170</v>
      </c>
      <c r="FB18" s="2">
        <v>40</v>
      </c>
      <c r="FC18" s="3">
        <v>1000</v>
      </c>
      <c r="FD18" s="3">
        <f t="shared" si="30"/>
        <v>40000</v>
      </c>
      <c r="FE18" s="3" t="s">
        <v>126</v>
      </c>
      <c r="FF18" s="3">
        <f t="shared" si="54"/>
        <v>202.58</v>
      </c>
      <c r="FG18" s="3">
        <v>6000</v>
      </c>
      <c r="FH18" s="3">
        <f t="shared" si="31"/>
        <v>1215480</v>
      </c>
      <c r="FI18" s="1">
        <f t="shared" si="32"/>
        <v>3915180</v>
      </c>
      <c r="FJ18" s="3" t="s">
        <v>139</v>
      </c>
      <c r="FK18" s="2">
        <v>60</v>
      </c>
      <c r="FL18" s="2">
        <v>6000</v>
      </c>
      <c r="FM18" s="3">
        <f t="shared" si="33"/>
        <v>360000</v>
      </c>
      <c r="FN18" s="3" t="s">
        <v>139</v>
      </c>
      <c r="FO18" s="2"/>
      <c r="FP18" s="3">
        <v>6000</v>
      </c>
      <c r="FQ18" s="3">
        <f t="shared" si="55"/>
        <v>0</v>
      </c>
      <c r="FR18" s="3" t="s">
        <v>139</v>
      </c>
      <c r="FS18" s="2"/>
      <c r="FT18" s="2"/>
      <c r="FU18" s="3">
        <f t="shared" si="34"/>
        <v>0</v>
      </c>
      <c r="FV18" s="3" t="s">
        <v>139</v>
      </c>
      <c r="FW18" s="2"/>
      <c r="FX18" s="3">
        <v>8000</v>
      </c>
      <c r="FY18" s="3">
        <f t="shared" si="35"/>
        <v>0</v>
      </c>
      <c r="FZ18" s="3" t="s">
        <v>139</v>
      </c>
      <c r="GA18" s="3">
        <v>2</v>
      </c>
      <c r="GB18" s="3">
        <v>8000</v>
      </c>
      <c r="GC18" s="3">
        <f t="shared" si="36"/>
        <v>16000</v>
      </c>
      <c r="GD18" s="3" t="s">
        <v>139</v>
      </c>
      <c r="GE18" s="3">
        <v>10</v>
      </c>
      <c r="GF18" s="3">
        <v>10000</v>
      </c>
      <c r="GG18" s="3">
        <f t="shared" si="37"/>
        <v>100000</v>
      </c>
      <c r="GH18" s="3" t="s">
        <v>139</v>
      </c>
      <c r="GI18" s="2"/>
      <c r="GJ18" s="2"/>
      <c r="GK18" s="3">
        <f t="shared" si="38"/>
        <v>0</v>
      </c>
      <c r="GL18" s="92">
        <f t="shared" si="39"/>
        <v>476000</v>
      </c>
      <c r="GM18" s="8">
        <f t="shared" si="40"/>
        <v>6157260</v>
      </c>
      <c r="GN18" s="8">
        <f t="shared" si="41"/>
        <v>15000</v>
      </c>
      <c r="GO18" s="98">
        <v>2000</v>
      </c>
      <c r="GP18" s="8">
        <f t="shared" si="56"/>
        <v>30000000</v>
      </c>
      <c r="GQ18" s="8">
        <f t="shared" si="42"/>
        <v>50000000</v>
      </c>
      <c r="GR18" s="8">
        <f t="shared" si="43"/>
        <v>23842740</v>
      </c>
      <c r="GS18" s="8">
        <f t="shared" si="44"/>
        <v>43842740</v>
      </c>
      <c r="GT18" s="3" t="s">
        <v>1735</v>
      </c>
      <c r="GU18" s="45"/>
    </row>
    <row r="19" spans="1:203" s="26" customFormat="1" ht="158.25" customHeight="1">
      <c r="A19" s="44">
        <v>20</v>
      </c>
      <c r="B19" s="22" t="s">
        <v>81</v>
      </c>
      <c r="C19" s="3" t="s">
        <v>193</v>
      </c>
      <c r="D19" s="13" t="s">
        <v>395</v>
      </c>
      <c r="E19" s="13" t="s">
        <v>104</v>
      </c>
      <c r="F19" s="15" t="s">
        <v>719</v>
      </c>
      <c r="G19" s="15" t="s">
        <v>172</v>
      </c>
      <c r="H19" s="14" t="s">
        <v>88</v>
      </c>
      <c r="I19" s="13" t="s">
        <v>396</v>
      </c>
      <c r="J19" s="13" t="s">
        <v>105</v>
      </c>
      <c r="K19" s="13" t="s">
        <v>106</v>
      </c>
      <c r="L19" s="15" t="s">
        <v>567</v>
      </c>
      <c r="M19" s="13" t="s">
        <v>103</v>
      </c>
      <c r="N19" s="3" t="s">
        <v>154</v>
      </c>
      <c r="O19" s="15" t="s">
        <v>176</v>
      </c>
      <c r="P19" s="15" t="s">
        <v>175</v>
      </c>
      <c r="Q19" s="3" t="s">
        <v>128</v>
      </c>
      <c r="R19" s="15">
        <v>60</v>
      </c>
      <c r="S19" s="3">
        <v>100</v>
      </c>
      <c r="T19" s="2">
        <v>5000</v>
      </c>
      <c r="U19" s="3">
        <v>120</v>
      </c>
      <c r="V19" s="15">
        <v>60</v>
      </c>
      <c r="W19" s="7" t="s">
        <v>173</v>
      </c>
      <c r="X19" s="15">
        <v>8</v>
      </c>
      <c r="Y19" s="15">
        <v>10</v>
      </c>
      <c r="Z19" s="3" t="s">
        <v>155</v>
      </c>
      <c r="AA19" s="15" t="s">
        <v>174</v>
      </c>
      <c r="AB19" s="3" t="s">
        <v>156</v>
      </c>
      <c r="AC19" s="3">
        <v>50000</v>
      </c>
      <c r="AD19" s="3">
        <v>15</v>
      </c>
      <c r="AE19" s="13"/>
      <c r="AF19" s="3">
        <v>80000</v>
      </c>
      <c r="AG19" s="3">
        <f t="shared" si="45"/>
        <v>750000</v>
      </c>
      <c r="AH19" s="3" t="s">
        <v>171</v>
      </c>
      <c r="AI19" s="3">
        <v>1500</v>
      </c>
      <c r="AJ19" s="2">
        <v>1000</v>
      </c>
      <c r="AK19" s="16">
        <v>200</v>
      </c>
      <c r="AL19" s="2">
        <f>6000</f>
        <v>6000</v>
      </c>
      <c r="AM19" s="13"/>
      <c r="AN19" s="2">
        <v>3000</v>
      </c>
      <c r="AO19" s="16"/>
      <c r="AP19" s="13"/>
      <c r="AQ19" s="2">
        <f t="shared" si="0"/>
        <v>2700000</v>
      </c>
      <c r="AR19" s="3" t="s">
        <v>393</v>
      </c>
      <c r="AS19" s="3" t="s">
        <v>394</v>
      </c>
      <c r="AT19" s="2" t="s">
        <v>139</v>
      </c>
      <c r="AU19" s="13"/>
      <c r="AV19" s="3">
        <v>6000</v>
      </c>
      <c r="AW19" s="16">
        <v>0</v>
      </c>
      <c r="AX19" s="2" t="s">
        <v>139</v>
      </c>
      <c r="AY19" s="13"/>
      <c r="AZ19" s="3">
        <v>6000</v>
      </c>
      <c r="BA19" s="2">
        <f t="shared" si="2"/>
        <v>0</v>
      </c>
      <c r="BB19" s="2" t="s">
        <v>139</v>
      </c>
      <c r="BC19" s="16">
        <v>0</v>
      </c>
      <c r="BD19" s="3">
        <v>6000</v>
      </c>
      <c r="BE19" s="3">
        <f t="shared" si="3"/>
        <v>0</v>
      </c>
      <c r="BF19" s="3" t="s">
        <v>125</v>
      </c>
      <c r="BG19" s="2">
        <v>2</v>
      </c>
      <c r="BH19" s="3">
        <v>6000</v>
      </c>
      <c r="BI19" s="3">
        <f t="shared" si="4"/>
        <v>12000</v>
      </c>
      <c r="BJ19" s="3" t="s">
        <v>126</v>
      </c>
      <c r="BK19" s="13"/>
      <c r="BL19" s="3">
        <v>1000</v>
      </c>
      <c r="BM19" s="3">
        <f t="shared" si="62"/>
        <v>0</v>
      </c>
      <c r="BN19" s="2" t="s">
        <v>126</v>
      </c>
      <c r="BO19" s="13"/>
      <c r="BP19" s="2">
        <v>3000</v>
      </c>
      <c r="BQ19" s="13"/>
      <c r="BR19" s="2" t="s">
        <v>126</v>
      </c>
      <c r="BS19" s="13"/>
      <c r="BT19" s="2">
        <f>6000</f>
        <v>6000</v>
      </c>
      <c r="BU19" s="3">
        <f t="shared" si="7"/>
        <v>0</v>
      </c>
      <c r="BV19" s="2" t="s">
        <v>126</v>
      </c>
      <c r="BW19" s="13"/>
      <c r="BX19" s="2">
        <v>6000</v>
      </c>
      <c r="BY19" s="13"/>
      <c r="BZ19" s="92">
        <f t="shared" si="9"/>
        <v>12000</v>
      </c>
      <c r="CA19" s="2" t="s">
        <v>139</v>
      </c>
      <c r="CB19" s="3">
        <v>5</v>
      </c>
      <c r="CC19" s="3">
        <v>8000</v>
      </c>
      <c r="CD19" s="3">
        <f t="shared" si="10"/>
        <v>40000</v>
      </c>
      <c r="CE19" s="13"/>
      <c r="CF19" s="2">
        <v>1</v>
      </c>
      <c r="CG19" s="3">
        <v>200000</v>
      </c>
      <c r="CH19" s="3">
        <f t="shared" si="11"/>
        <v>200000</v>
      </c>
      <c r="CI19" s="3" t="s">
        <v>139</v>
      </c>
      <c r="CJ19" s="3">
        <v>1</v>
      </c>
      <c r="CK19" s="13"/>
      <c r="CL19" s="3">
        <f t="shared" si="12"/>
        <v>0</v>
      </c>
      <c r="CM19" s="5">
        <f t="shared" si="13"/>
        <v>240000</v>
      </c>
      <c r="CN19" s="2" t="s">
        <v>139</v>
      </c>
      <c r="CO19" s="2">
        <v>15</v>
      </c>
      <c r="CP19" s="2">
        <v>6000</v>
      </c>
      <c r="CQ19" s="2">
        <f t="shared" si="14"/>
        <v>90000</v>
      </c>
      <c r="CR19" s="2" t="s">
        <v>139</v>
      </c>
      <c r="CS19" s="2">
        <v>75</v>
      </c>
      <c r="CT19" s="2">
        <v>6000</v>
      </c>
      <c r="CU19" s="13"/>
      <c r="CV19" s="13"/>
      <c r="CW19" s="2">
        <v>30</v>
      </c>
      <c r="CX19" s="2">
        <v>6000</v>
      </c>
      <c r="CY19" s="2">
        <f t="shared" si="16"/>
        <v>180000</v>
      </c>
      <c r="CZ19" s="2" t="s">
        <v>139</v>
      </c>
      <c r="DA19" s="2">
        <v>10</v>
      </c>
      <c r="DB19" s="2">
        <v>6000</v>
      </c>
      <c r="DC19" s="2">
        <f t="shared" si="17"/>
        <v>60000</v>
      </c>
      <c r="DD19" s="2" t="s">
        <v>139</v>
      </c>
      <c r="DE19" s="2">
        <v>2</v>
      </c>
      <c r="DF19" s="2">
        <v>6000</v>
      </c>
      <c r="DG19" s="2">
        <f t="shared" si="18"/>
        <v>12000</v>
      </c>
      <c r="DH19" s="2" t="s">
        <v>139</v>
      </c>
      <c r="DI19" s="2">
        <v>200</v>
      </c>
      <c r="DJ19" s="2">
        <v>6000</v>
      </c>
      <c r="DK19" s="2">
        <f t="shared" si="19"/>
        <v>1200000</v>
      </c>
      <c r="DL19" s="3" t="s">
        <v>125</v>
      </c>
      <c r="DM19" s="13"/>
      <c r="DN19" s="3">
        <v>6000</v>
      </c>
      <c r="DO19" s="13"/>
      <c r="DP19" s="2" t="s">
        <v>139</v>
      </c>
      <c r="DQ19" s="13"/>
      <c r="DR19" s="3">
        <v>6000</v>
      </c>
      <c r="DS19" s="2">
        <f t="shared" si="21"/>
        <v>0</v>
      </c>
      <c r="DT19" s="6">
        <f t="shared" si="22"/>
        <v>1542000</v>
      </c>
      <c r="DU19" s="2" t="s">
        <v>157</v>
      </c>
      <c r="DV19" s="3">
        <f t="shared" si="46"/>
        <v>60</v>
      </c>
      <c r="DW19" s="3">
        <f t="shared" si="47"/>
        <v>5000</v>
      </c>
      <c r="DX19" s="3">
        <f t="shared" si="23"/>
        <v>300000</v>
      </c>
      <c r="DY19" s="3" t="s">
        <v>127</v>
      </c>
      <c r="DZ19" s="3">
        <f t="shared" si="48"/>
        <v>15</v>
      </c>
      <c r="EA19" s="2">
        <v>50000</v>
      </c>
      <c r="EB19" s="3">
        <f t="shared" si="24"/>
        <v>750000</v>
      </c>
      <c r="EC19" s="2" t="s">
        <v>127</v>
      </c>
      <c r="ED19" s="3">
        <f t="shared" si="49"/>
        <v>0</v>
      </c>
      <c r="EE19" s="3">
        <v>80000</v>
      </c>
      <c r="EF19" s="3">
        <f t="shared" si="25"/>
        <v>0</v>
      </c>
      <c r="EG19" s="2" t="s">
        <v>157</v>
      </c>
      <c r="EH19" s="3">
        <f t="shared" si="50"/>
        <v>200</v>
      </c>
      <c r="EI19" s="3">
        <v>6000</v>
      </c>
      <c r="EJ19" s="7">
        <f t="shared" si="26"/>
        <v>1200000</v>
      </c>
      <c r="EK19" s="2" t="s">
        <v>157</v>
      </c>
      <c r="EL19" s="13"/>
      <c r="EM19" s="3">
        <v>3000</v>
      </c>
      <c r="EN19" s="3">
        <f t="shared" si="27"/>
        <v>0</v>
      </c>
      <c r="EO19" s="3" t="s">
        <v>126</v>
      </c>
      <c r="EP19" s="3">
        <f t="shared" si="52"/>
        <v>1500</v>
      </c>
      <c r="EQ19" s="3">
        <v>1000</v>
      </c>
      <c r="ER19" s="7">
        <f t="shared" si="53"/>
        <v>1500000</v>
      </c>
      <c r="ES19" s="3" t="s">
        <v>124</v>
      </c>
      <c r="ET19" s="2">
        <v>1</v>
      </c>
      <c r="EU19" s="3">
        <v>60000</v>
      </c>
      <c r="EV19" s="3">
        <f t="shared" si="28"/>
        <v>60000</v>
      </c>
      <c r="EW19" s="3" t="s">
        <v>124</v>
      </c>
      <c r="EX19" s="13"/>
      <c r="EY19" s="3">
        <v>60000</v>
      </c>
      <c r="EZ19" s="3">
        <f t="shared" si="29"/>
        <v>0</v>
      </c>
      <c r="FA19" s="2" t="s">
        <v>170</v>
      </c>
      <c r="FB19" s="13"/>
      <c r="FC19" s="3">
        <v>1000</v>
      </c>
      <c r="FD19" s="3">
        <f t="shared" si="30"/>
        <v>0</v>
      </c>
      <c r="FE19" s="3" t="s">
        <v>126</v>
      </c>
      <c r="FF19" s="3">
        <f t="shared" si="54"/>
        <v>0</v>
      </c>
      <c r="FG19" s="3">
        <v>6000</v>
      </c>
      <c r="FH19" s="3">
        <f t="shared" si="31"/>
        <v>0</v>
      </c>
      <c r="FI19" s="1">
        <f t="shared" si="32"/>
        <v>3810000</v>
      </c>
      <c r="FJ19" s="3" t="s">
        <v>139</v>
      </c>
      <c r="FK19" s="2">
        <v>60</v>
      </c>
      <c r="FL19" s="2">
        <v>6000</v>
      </c>
      <c r="FM19" s="3">
        <f t="shared" si="33"/>
        <v>360000</v>
      </c>
      <c r="FN19" s="3" t="s">
        <v>139</v>
      </c>
      <c r="FO19" s="13"/>
      <c r="FP19" s="3">
        <v>6000</v>
      </c>
      <c r="FQ19" s="3">
        <f t="shared" si="55"/>
        <v>0</v>
      </c>
      <c r="FR19" s="3" t="s">
        <v>139</v>
      </c>
      <c r="FS19" s="13">
        <v>10</v>
      </c>
      <c r="FT19" s="13"/>
      <c r="FU19" s="3">
        <f t="shared" si="34"/>
        <v>0</v>
      </c>
      <c r="FV19" s="3" t="s">
        <v>139</v>
      </c>
      <c r="FW19" s="13"/>
      <c r="FX19" s="3">
        <v>8000</v>
      </c>
      <c r="FY19" s="3">
        <f t="shared" si="35"/>
        <v>0</v>
      </c>
      <c r="FZ19" s="3" t="s">
        <v>139</v>
      </c>
      <c r="GA19" s="3">
        <v>2</v>
      </c>
      <c r="GB19" s="3">
        <v>8000</v>
      </c>
      <c r="GC19" s="3">
        <f t="shared" si="36"/>
        <v>16000</v>
      </c>
      <c r="GD19" s="3" t="s">
        <v>139</v>
      </c>
      <c r="GE19" s="3">
        <v>10</v>
      </c>
      <c r="GF19" s="3">
        <v>10000</v>
      </c>
      <c r="GG19" s="3">
        <f t="shared" si="37"/>
        <v>100000</v>
      </c>
      <c r="GH19" s="3" t="s">
        <v>139</v>
      </c>
      <c r="GI19" s="13"/>
      <c r="GJ19" s="13"/>
      <c r="GK19" s="3">
        <f t="shared" si="38"/>
        <v>0</v>
      </c>
      <c r="GL19" s="92">
        <f t="shared" si="39"/>
        <v>476000</v>
      </c>
      <c r="GM19" s="8">
        <f t="shared" si="40"/>
        <v>6080000</v>
      </c>
      <c r="GN19" s="8">
        <f t="shared" si="41"/>
        <v>8000</v>
      </c>
      <c r="GO19" s="99">
        <v>2000</v>
      </c>
      <c r="GP19" s="8">
        <f t="shared" si="56"/>
        <v>16000000</v>
      </c>
      <c r="GQ19" s="8">
        <f t="shared" si="42"/>
        <v>20000000</v>
      </c>
      <c r="GR19" s="8">
        <f t="shared" si="43"/>
        <v>9920000</v>
      </c>
      <c r="GS19" s="8">
        <f t="shared" si="44"/>
        <v>13920000</v>
      </c>
      <c r="GT19" s="15" t="s">
        <v>1736</v>
      </c>
      <c r="GU19" s="47" t="s">
        <v>1737</v>
      </c>
    </row>
    <row r="20" spans="1:203" s="26" customFormat="1" ht="158.25" customHeight="1">
      <c r="A20" s="44">
        <v>21</v>
      </c>
      <c r="B20" s="22" t="s">
        <v>101</v>
      </c>
      <c r="C20" s="14" t="s">
        <v>397</v>
      </c>
      <c r="D20" s="15" t="s">
        <v>194</v>
      </c>
      <c r="E20" s="13" t="s">
        <v>178</v>
      </c>
      <c r="F20" s="15" t="s">
        <v>720</v>
      </c>
      <c r="G20" s="15" t="s">
        <v>177</v>
      </c>
      <c r="H20" s="13" t="s">
        <v>84</v>
      </c>
      <c r="I20" s="15" t="s">
        <v>184</v>
      </c>
      <c r="J20" s="15" t="s">
        <v>183</v>
      </c>
      <c r="K20" s="15" t="s">
        <v>180</v>
      </c>
      <c r="L20" s="15" t="s">
        <v>182</v>
      </c>
      <c r="M20" s="15" t="s">
        <v>179</v>
      </c>
      <c r="N20" s="15" t="s">
        <v>181</v>
      </c>
      <c r="O20" s="15" t="s">
        <v>192</v>
      </c>
      <c r="P20" s="15" t="s">
        <v>186</v>
      </c>
      <c r="Q20" s="3" t="s">
        <v>128</v>
      </c>
      <c r="R20" s="15">
        <v>25</v>
      </c>
      <c r="S20" s="7">
        <v>60</v>
      </c>
      <c r="T20" s="2">
        <v>4000</v>
      </c>
      <c r="U20" s="3">
        <v>120</v>
      </c>
      <c r="V20" s="7">
        <v>210</v>
      </c>
      <c r="W20" s="15" t="s">
        <v>189</v>
      </c>
      <c r="X20" s="7">
        <v>1.5</v>
      </c>
      <c r="Y20" s="15">
        <v>2.5</v>
      </c>
      <c r="Z20" s="15" t="s">
        <v>185</v>
      </c>
      <c r="AA20" s="15" t="s">
        <v>187</v>
      </c>
      <c r="AB20" s="15" t="s">
        <v>188</v>
      </c>
      <c r="AC20" s="3">
        <v>50000</v>
      </c>
      <c r="AD20" s="15">
        <v>20</v>
      </c>
      <c r="AE20" s="13"/>
      <c r="AF20" s="3">
        <v>80000</v>
      </c>
      <c r="AG20" s="3">
        <f t="shared" si="45"/>
        <v>1000000</v>
      </c>
      <c r="AH20" s="13" t="s">
        <v>195</v>
      </c>
      <c r="AI20" s="3">
        <v>1500</v>
      </c>
      <c r="AJ20" s="2">
        <v>1000</v>
      </c>
      <c r="AK20" s="16">
        <v>50</v>
      </c>
      <c r="AL20" s="2">
        <f>6000</f>
        <v>6000</v>
      </c>
      <c r="AM20" s="13"/>
      <c r="AN20" s="2">
        <v>3000</v>
      </c>
      <c r="AO20" s="16"/>
      <c r="AP20" s="13"/>
      <c r="AQ20" s="2">
        <f t="shared" si="0"/>
        <v>1800000</v>
      </c>
      <c r="AR20" s="15" t="s">
        <v>190</v>
      </c>
      <c r="AS20" s="15" t="s">
        <v>191</v>
      </c>
      <c r="AT20" s="2" t="s">
        <v>139</v>
      </c>
      <c r="AU20" s="13">
        <v>0</v>
      </c>
      <c r="AV20" s="3">
        <v>6000</v>
      </c>
      <c r="AW20" s="13"/>
      <c r="AX20" s="2" t="s">
        <v>139</v>
      </c>
      <c r="AY20" s="13"/>
      <c r="AZ20" s="3">
        <v>6000</v>
      </c>
      <c r="BA20" s="2">
        <f t="shared" si="2"/>
        <v>0</v>
      </c>
      <c r="BB20" s="2" t="s">
        <v>139</v>
      </c>
      <c r="BC20" s="16">
        <v>0</v>
      </c>
      <c r="BD20" s="3">
        <v>6000</v>
      </c>
      <c r="BE20" s="3">
        <f t="shared" si="3"/>
        <v>0</v>
      </c>
      <c r="BF20" s="3" t="s">
        <v>125</v>
      </c>
      <c r="BG20" s="2">
        <v>2</v>
      </c>
      <c r="BH20" s="3">
        <v>6000</v>
      </c>
      <c r="BI20" s="3">
        <f t="shared" si="4"/>
        <v>12000</v>
      </c>
      <c r="BJ20" s="3" t="s">
        <v>126</v>
      </c>
      <c r="BK20" s="13"/>
      <c r="BL20" s="3">
        <v>1000</v>
      </c>
      <c r="BM20" s="3">
        <f t="shared" si="62"/>
        <v>0</v>
      </c>
      <c r="BN20" s="2" t="s">
        <v>126</v>
      </c>
      <c r="BO20" s="13"/>
      <c r="BP20" s="2">
        <v>3000</v>
      </c>
      <c r="BQ20" s="13"/>
      <c r="BR20" s="2" t="s">
        <v>126</v>
      </c>
      <c r="BS20" s="13"/>
      <c r="BT20" s="2">
        <f>6000</f>
        <v>6000</v>
      </c>
      <c r="BU20" s="3">
        <f t="shared" si="7"/>
        <v>0</v>
      </c>
      <c r="BV20" s="2" t="s">
        <v>126</v>
      </c>
      <c r="BW20" s="13"/>
      <c r="BX20" s="2">
        <v>6000</v>
      </c>
      <c r="BY20" s="13"/>
      <c r="BZ20" s="92">
        <f t="shared" si="9"/>
        <v>12000</v>
      </c>
      <c r="CA20" s="2" t="s">
        <v>139</v>
      </c>
      <c r="CB20" s="3">
        <v>5</v>
      </c>
      <c r="CC20" s="3">
        <v>8000</v>
      </c>
      <c r="CD20" s="3">
        <f t="shared" si="10"/>
        <v>40000</v>
      </c>
      <c r="CE20" s="13"/>
      <c r="CF20" s="2">
        <v>1</v>
      </c>
      <c r="CG20" s="3">
        <v>200000</v>
      </c>
      <c r="CH20" s="3">
        <f t="shared" si="11"/>
        <v>200000</v>
      </c>
      <c r="CI20" s="3" t="s">
        <v>139</v>
      </c>
      <c r="CJ20" s="3">
        <v>1</v>
      </c>
      <c r="CK20" s="13"/>
      <c r="CL20" s="3">
        <f t="shared" si="12"/>
        <v>0</v>
      </c>
      <c r="CM20" s="5">
        <f t="shared" si="13"/>
        <v>240000</v>
      </c>
      <c r="CN20" s="2" t="s">
        <v>139</v>
      </c>
      <c r="CO20" s="2">
        <v>15</v>
      </c>
      <c r="CP20" s="2">
        <v>6000</v>
      </c>
      <c r="CQ20" s="2">
        <f t="shared" si="14"/>
        <v>90000</v>
      </c>
      <c r="CR20" s="2" t="s">
        <v>139</v>
      </c>
      <c r="CS20" s="2">
        <v>75</v>
      </c>
      <c r="CT20" s="2">
        <v>6000</v>
      </c>
      <c r="CU20" s="13"/>
      <c r="CV20" s="13"/>
      <c r="CW20" s="2">
        <v>30</v>
      </c>
      <c r="CX20" s="2">
        <v>6000</v>
      </c>
      <c r="CY20" s="2">
        <f t="shared" si="16"/>
        <v>180000</v>
      </c>
      <c r="CZ20" s="2" t="s">
        <v>139</v>
      </c>
      <c r="DA20" s="2">
        <v>10</v>
      </c>
      <c r="DB20" s="2">
        <v>6000</v>
      </c>
      <c r="DC20" s="2">
        <f t="shared" si="17"/>
        <v>60000</v>
      </c>
      <c r="DD20" s="2" t="s">
        <v>139</v>
      </c>
      <c r="DE20" s="2">
        <v>2</v>
      </c>
      <c r="DF20" s="2">
        <v>6000</v>
      </c>
      <c r="DG20" s="2">
        <f t="shared" si="18"/>
        <v>12000</v>
      </c>
      <c r="DH20" s="2" t="s">
        <v>139</v>
      </c>
      <c r="DI20" s="2">
        <v>200</v>
      </c>
      <c r="DJ20" s="2">
        <v>6000</v>
      </c>
      <c r="DK20" s="2">
        <f t="shared" si="19"/>
        <v>1200000</v>
      </c>
      <c r="DL20" s="3" t="s">
        <v>125</v>
      </c>
      <c r="DM20" s="13"/>
      <c r="DN20" s="3">
        <v>6000</v>
      </c>
      <c r="DO20" s="13"/>
      <c r="DP20" s="2" t="s">
        <v>139</v>
      </c>
      <c r="DQ20" s="13"/>
      <c r="DR20" s="3">
        <v>6000</v>
      </c>
      <c r="DS20" s="2">
        <f t="shared" si="21"/>
        <v>0</v>
      </c>
      <c r="DT20" s="6">
        <f t="shared" si="22"/>
        <v>1542000</v>
      </c>
      <c r="DU20" s="2" t="s">
        <v>157</v>
      </c>
      <c r="DV20" s="3">
        <f t="shared" si="46"/>
        <v>25</v>
      </c>
      <c r="DW20" s="3">
        <f t="shared" si="47"/>
        <v>4000</v>
      </c>
      <c r="DX20" s="3">
        <f t="shared" si="23"/>
        <v>100000</v>
      </c>
      <c r="DY20" s="3" t="s">
        <v>127</v>
      </c>
      <c r="DZ20" s="3">
        <f t="shared" si="48"/>
        <v>20</v>
      </c>
      <c r="EA20" s="2">
        <v>50000</v>
      </c>
      <c r="EB20" s="3">
        <f t="shared" si="24"/>
        <v>1000000</v>
      </c>
      <c r="EC20" s="2" t="s">
        <v>127</v>
      </c>
      <c r="ED20" s="3">
        <f t="shared" si="49"/>
        <v>0</v>
      </c>
      <c r="EE20" s="3">
        <v>80000</v>
      </c>
      <c r="EF20" s="3">
        <f t="shared" si="25"/>
        <v>0</v>
      </c>
      <c r="EG20" s="2" t="s">
        <v>157</v>
      </c>
      <c r="EH20" s="3">
        <f t="shared" si="50"/>
        <v>50</v>
      </c>
      <c r="EI20" s="3">
        <v>6000</v>
      </c>
      <c r="EJ20" s="7">
        <f t="shared" si="26"/>
        <v>300000</v>
      </c>
      <c r="EK20" s="2" t="s">
        <v>157</v>
      </c>
      <c r="EL20" s="13"/>
      <c r="EM20" s="3">
        <v>3000</v>
      </c>
      <c r="EN20" s="3">
        <f t="shared" si="27"/>
        <v>0</v>
      </c>
      <c r="EO20" s="3" t="s">
        <v>126</v>
      </c>
      <c r="EP20" s="3">
        <f t="shared" si="52"/>
        <v>1500</v>
      </c>
      <c r="EQ20" s="3">
        <v>1000</v>
      </c>
      <c r="ER20" s="7">
        <f t="shared" si="53"/>
        <v>1500000</v>
      </c>
      <c r="ES20" s="3" t="s">
        <v>124</v>
      </c>
      <c r="ET20" s="2">
        <v>1</v>
      </c>
      <c r="EU20" s="3">
        <v>60000</v>
      </c>
      <c r="EV20" s="3">
        <f t="shared" si="28"/>
        <v>60000</v>
      </c>
      <c r="EW20" s="3" t="s">
        <v>124</v>
      </c>
      <c r="EX20" s="13"/>
      <c r="EY20" s="3">
        <v>60000</v>
      </c>
      <c r="EZ20" s="3">
        <f t="shared" si="29"/>
        <v>0</v>
      </c>
      <c r="FA20" s="2" t="s">
        <v>170</v>
      </c>
      <c r="FB20" s="13">
        <v>40</v>
      </c>
      <c r="FC20" s="3">
        <v>1000</v>
      </c>
      <c r="FD20" s="3">
        <f t="shared" si="30"/>
        <v>40000</v>
      </c>
      <c r="FE20" s="3" t="s">
        <v>126</v>
      </c>
      <c r="FF20" s="3">
        <f t="shared" si="54"/>
        <v>0</v>
      </c>
      <c r="FG20" s="3">
        <v>6000</v>
      </c>
      <c r="FH20" s="3">
        <f t="shared" si="31"/>
        <v>0</v>
      </c>
      <c r="FI20" s="1">
        <f t="shared" si="32"/>
        <v>3000000</v>
      </c>
      <c r="FJ20" s="3" t="s">
        <v>139</v>
      </c>
      <c r="FK20" s="2">
        <v>60</v>
      </c>
      <c r="FL20" s="2">
        <v>6000</v>
      </c>
      <c r="FM20" s="3">
        <f t="shared" si="33"/>
        <v>360000</v>
      </c>
      <c r="FN20" s="3" t="s">
        <v>139</v>
      </c>
      <c r="FO20" s="13"/>
      <c r="FP20" s="3">
        <v>6000</v>
      </c>
      <c r="FQ20" s="3">
        <f t="shared" si="55"/>
        <v>0</v>
      </c>
      <c r="FR20" s="3" t="s">
        <v>139</v>
      </c>
      <c r="FS20" s="13">
        <v>10</v>
      </c>
      <c r="FT20" s="13"/>
      <c r="FU20" s="3">
        <f t="shared" si="34"/>
        <v>0</v>
      </c>
      <c r="FV20" s="3" t="s">
        <v>139</v>
      </c>
      <c r="FW20" s="13">
        <v>4</v>
      </c>
      <c r="FX20" s="3">
        <v>8000</v>
      </c>
      <c r="FY20" s="3">
        <f t="shared" si="35"/>
        <v>32000</v>
      </c>
      <c r="FZ20" s="3" t="s">
        <v>139</v>
      </c>
      <c r="GA20" s="3">
        <v>2</v>
      </c>
      <c r="GB20" s="3">
        <v>8000</v>
      </c>
      <c r="GC20" s="3">
        <f t="shared" si="36"/>
        <v>16000</v>
      </c>
      <c r="GD20" s="3" t="s">
        <v>139</v>
      </c>
      <c r="GE20" s="3">
        <v>10</v>
      </c>
      <c r="GF20" s="3">
        <v>10000</v>
      </c>
      <c r="GG20" s="3">
        <f t="shared" si="37"/>
        <v>100000</v>
      </c>
      <c r="GH20" s="3" t="s">
        <v>139</v>
      </c>
      <c r="GI20" s="13"/>
      <c r="GJ20" s="13"/>
      <c r="GK20" s="3">
        <f t="shared" si="38"/>
        <v>0</v>
      </c>
      <c r="GL20" s="92">
        <f t="shared" si="39"/>
        <v>508000</v>
      </c>
      <c r="GM20" s="8">
        <f t="shared" si="40"/>
        <v>5302000</v>
      </c>
      <c r="GN20" s="8">
        <f t="shared" si="41"/>
        <v>1500</v>
      </c>
      <c r="GO20" s="99">
        <v>4000</v>
      </c>
      <c r="GP20" s="8">
        <f t="shared" si="56"/>
        <v>6000000</v>
      </c>
      <c r="GQ20" s="8">
        <f t="shared" si="42"/>
        <v>10000000</v>
      </c>
      <c r="GR20" s="8">
        <f t="shared" si="43"/>
        <v>698000</v>
      </c>
      <c r="GS20" s="8">
        <f t="shared" si="44"/>
        <v>4698000</v>
      </c>
      <c r="GT20" s="15" t="s">
        <v>1738</v>
      </c>
      <c r="GU20" s="47" t="s">
        <v>1739</v>
      </c>
    </row>
    <row r="21" spans="1:203" ht="158.25" customHeight="1">
      <c r="A21" s="44">
        <v>22</v>
      </c>
      <c r="B21" s="22" t="s">
        <v>35</v>
      </c>
      <c r="C21" s="15" t="s">
        <v>196</v>
      </c>
      <c r="D21" s="15" t="s">
        <v>198</v>
      </c>
      <c r="E21" s="15" t="s">
        <v>102</v>
      </c>
      <c r="F21" s="15" t="s">
        <v>102</v>
      </c>
      <c r="G21" s="13" t="s">
        <v>683</v>
      </c>
      <c r="H21" s="14" t="s">
        <v>88</v>
      </c>
      <c r="I21" s="13" t="s">
        <v>201</v>
      </c>
      <c r="J21" s="15" t="s">
        <v>202</v>
      </c>
      <c r="K21" s="15" t="s">
        <v>203</v>
      </c>
      <c r="L21" s="15" t="s">
        <v>571</v>
      </c>
      <c r="M21" s="13" t="s">
        <v>103</v>
      </c>
      <c r="N21" s="15" t="s">
        <v>205</v>
      </c>
      <c r="O21" s="15" t="s">
        <v>206</v>
      </c>
      <c r="P21" s="15" t="s">
        <v>212</v>
      </c>
      <c r="Q21" s="14" t="s">
        <v>128</v>
      </c>
      <c r="R21" s="15">
        <v>1</v>
      </c>
      <c r="S21" s="15">
        <v>1.5</v>
      </c>
      <c r="T21" s="15">
        <v>200000</v>
      </c>
      <c r="U21" s="3">
        <v>120</v>
      </c>
      <c r="V21" s="15">
        <v>160</v>
      </c>
      <c r="W21" s="7" t="s">
        <v>207</v>
      </c>
      <c r="X21" s="15">
        <v>12</v>
      </c>
      <c r="Y21" s="15">
        <v>18</v>
      </c>
      <c r="Z21" s="15" t="s">
        <v>208</v>
      </c>
      <c r="AA21" s="15" t="s">
        <v>214</v>
      </c>
      <c r="AB21" s="7" t="s">
        <v>210</v>
      </c>
      <c r="AC21" s="3">
        <v>50000</v>
      </c>
      <c r="AD21" s="13">
        <v>0</v>
      </c>
      <c r="AE21" s="14">
        <v>15</v>
      </c>
      <c r="AF21" s="3">
        <v>80000</v>
      </c>
      <c r="AG21" s="3">
        <f t="shared" si="45"/>
        <v>1200000</v>
      </c>
      <c r="AH21" s="3" t="s">
        <v>398</v>
      </c>
      <c r="AI21" s="13"/>
      <c r="AJ21" s="13"/>
      <c r="AK21" s="13">
        <v>9</v>
      </c>
      <c r="AL21" s="13">
        <v>6000</v>
      </c>
      <c r="AM21" s="13">
        <v>60</v>
      </c>
      <c r="AN21" s="13">
        <v>3000</v>
      </c>
      <c r="AO21" s="13">
        <v>200</v>
      </c>
      <c r="AP21" s="13">
        <v>6000</v>
      </c>
      <c r="AQ21" s="2">
        <f t="shared" si="0"/>
        <v>1434000</v>
      </c>
      <c r="AR21" s="15" t="s">
        <v>211</v>
      </c>
      <c r="AS21" s="13"/>
      <c r="AT21" s="2" t="s">
        <v>139</v>
      </c>
      <c r="AU21" s="13">
        <v>7.5</v>
      </c>
      <c r="AV21" s="3">
        <v>6000</v>
      </c>
      <c r="AW21" s="2">
        <f t="shared" ref="AW21:AW42" si="72">AU21*AV21</f>
        <v>45000</v>
      </c>
      <c r="AX21" s="2" t="s">
        <v>139</v>
      </c>
      <c r="AY21" s="13">
        <v>5</v>
      </c>
      <c r="AZ21" s="3">
        <v>6000</v>
      </c>
      <c r="BA21" s="2">
        <f t="shared" si="2"/>
        <v>30000</v>
      </c>
      <c r="BB21" s="2" t="s">
        <v>139</v>
      </c>
      <c r="BC21" s="13">
        <v>2</v>
      </c>
      <c r="BD21" s="3">
        <v>6000</v>
      </c>
      <c r="BE21" s="3">
        <f t="shared" si="3"/>
        <v>12000</v>
      </c>
      <c r="BF21" s="3" t="s">
        <v>125</v>
      </c>
      <c r="BG21" s="2">
        <v>2</v>
      </c>
      <c r="BH21" s="3">
        <v>6000</v>
      </c>
      <c r="BI21" s="3">
        <f t="shared" si="4"/>
        <v>12000</v>
      </c>
      <c r="BJ21" s="3" t="s">
        <v>126</v>
      </c>
      <c r="BK21" s="13"/>
      <c r="BL21" s="3">
        <v>1000</v>
      </c>
      <c r="BM21" s="3">
        <f t="shared" si="62"/>
        <v>0</v>
      </c>
      <c r="BN21" s="13" t="s">
        <v>20</v>
      </c>
      <c r="BO21" s="13"/>
      <c r="BP21" s="2">
        <v>3000</v>
      </c>
      <c r="BQ21" s="3">
        <f>BO21*BP21</f>
        <v>0</v>
      </c>
      <c r="BR21" s="2" t="s">
        <v>126</v>
      </c>
      <c r="BS21" s="13"/>
      <c r="BT21" s="2">
        <f>6000</f>
        <v>6000</v>
      </c>
      <c r="BU21" s="3">
        <f t="shared" si="7"/>
        <v>0</v>
      </c>
      <c r="BV21" s="2" t="s">
        <v>126</v>
      </c>
      <c r="BW21" s="13">
        <v>9</v>
      </c>
      <c r="BX21" s="2">
        <v>6000</v>
      </c>
      <c r="BY21" s="3">
        <f t="shared" ref="BY21:BY36" si="73">BW21*BX21</f>
        <v>54000</v>
      </c>
      <c r="BZ21" s="92">
        <f t="shared" si="9"/>
        <v>123000</v>
      </c>
      <c r="CA21" s="2" t="s">
        <v>139</v>
      </c>
      <c r="CB21" s="3">
        <v>5</v>
      </c>
      <c r="CC21" s="3">
        <v>8000</v>
      </c>
      <c r="CD21" s="3">
        <f t="shared" si="10"/>
        <v>40000</v>
      </c>
      <c r="CE21" s="2" t="s">
        <v>139</v>
      </c>
      <c r="CF21" s="2">
        <v>1</v>
      </c>
      <c r="CG21" s="3">
        <v>200000</v>
      </c>
      <c r="CH21" s="3">
        <f t="shared" si="11"/>
        <v>200000</v>
      </c>
      <c r="CI21" s="3" t="s">
        <v>139</v>
      </c>
      <c r="CJ21" s="3">
        <v>1</v>
      </c>
      <c r="CK21" s="13"/>
      <c r="CL21" s="3">
        <f t="shared" si="12"/>
        <v>0</v>
      </c>
      <c r="CM21" s="5">
        <f t="shared" si="13"/>
        <v>240000</v>
      </c>
      <c r="CN21" s="3" t="s">
        <v>125</v>
      </c>
      <c r="CO21" s="3">
        <v>0</v>
      </c>
      <c r="CP21" s="3">
        <v>6000</v>
      </c>
      <c r="CQ21" s="3">
        <f t="shared" ref="CQ21" si="74">CO21*CP21</f>
        <v>0</v>
      </c>
      <c r="CR21" s="3" t="s">
        <v>125</v>
      </c>
      <c r="CS21" s="3">
        <v>75</v>
      </c>
      <c r="CT21" s="3">
        <v>6000</v>
      </c>
      <c r="CU21" s="3">
        <f t="shared" ref="CU21" si="75">CS21*CT21</f>
        <v>450000</v>
      </c>
      <c r="CV21" s="3" t="s">
        <v>125</v>
      </c>
      <c r="CW21" s="3">
        <v>30</v>
      </c>
      <c r="CX21" s="3">
        <v>6000</v>
      </c>
      <c r="CY21" s="3">
        <f t="shared" ref="CY21" si="76">CW21*CX21</f>
        <v>180000</v>
      </c>
      <c r="CZ21" s="3" t="s">
        <v>125</v>
      </c>
      <c r="DA21" s="3">
        <v>15</v>
      </c>
      <c r="DB21" s="3">
        <v>6000</v>
      </c>
      <c r="DC21" s="3">
        <f t="shared" ref="DC21" si="77">DA21*DB21</f>
        <v>90000</v>
      </c>
      <c r="DD21" s="3" t="s">
        <v>125</v>
      </c>
      <c r="DE21" s="3">
        <v>5</v>
      </c>
      <c r="DF21" s="3">
        <v>6000</v>
      </c>
      <c r="DG21" s="3">
        <f t="shared" ref="DG21" si="78">DE21*DF21</f>
        <v>30000</v>
      </c>
      <c r="DH21" s="3" t="s">
        <v>125</v>
      </c>
      <c r="DI21" s="3">
        <v>100</v>
      </c>
      <c r="DJ21" s="3">
        <v>6000</v>
      </c>
      <c r="DK21" s="3">
        <f t="shared" ref="DK21" si="79">DI21*DJ21</f>
        <v>600000</v>
      </c>
      <c r="DL21" s="3" t="s">
        <v>125</v>
      </c>
      <c r="DM21" s="3"/>
      <c r="DN21" s="3">
        <v>6000</v>
      </c>
      <c r="DO21" s="3">
        <f t="shared" ref="DO21" si="80">DM21*DN21</f>
        <v>0</v>
      </c>
      <c r="DP21" s="3" t="s">
        <v>125</v>
      </c>
      <c r="DQ21" s="3"/>
      <c r="DR21" s="3">
        <v>6000</v>
      </c>
      <c r="DS21" s="3">
        <f t="shared" ref="DS21" si="81">DQ21*DR21</f>
        <v>0</v>
      </c>
      <c r="DT21" s="6">
        <f t="shared" ref="DT21" si="82">CQ21+CU21+CY21+DC21+DG21+DK21+DO21+DS21</f>
        <v>1350000</v>
      </c>
      <c r="DU21" s="2" t="s">
        <v>157</v>
      </c>
      <c r="DV21" s="3">
        <f t="shared" si="46"/>
        <v>1</v>
      </c>
      <c r="DW21" s="3">
        <f t="shared" si="47"/>
        <v>200000</v>
      </c>
      <c r="DX21" s="3">
        <f t="shared" si="23"/>
        <v>200000</v>
      </c>
      <c r="DY21" s="3" t="s">
        <v>127</v>
      </c>
      <c r="DZ21" s="3">
        <f t="shared" si="48"/>
        <v>0</v>
      </c>
      <c r="EA21" s="2">
        <v>50000</v>
      </c>
      <c r="EB21" s="3">
        <f t="shared" si="24"/>
        <v>0</v>
      </c>
      <c r="EC21" s="2" t="s">
        <v>127</v>
      </c>
      <c r="ED21" s="3">
        <f t="shared" si="49"/>
        <v>15</v>
      </c>
      <c r="EE21" s="3">
        <v>80000</v>
      </c>
      <c r="EF21" s="3">
        <f t="shared" si="25"/>
        <v>1200000</v>
      </c>
      <c r="EG21" s="2" t="s">
        <v>157</v>
      </c>
      <c r="EH21" s="3">
        <f t="shared" si="50"/>
        <v>9</v>
      </c>
      <c r="EI21" s="3">
        <v>6000</v>
      </c>
      <c r="EJ21" s="7">
        <f t="shared" si="26"/>
        <v>54000</v>
      </c>
      <c r="EK21" s="2" t="s">
        <v>157</v>
      </c>
      <c r="EL21" s="13">
        <v>60</v>
      </c>
      <c r="EM21" s="3">
        <v>3000</v>
      </c>
      <c r="EN21" s="3">
        <f t="shared" si="27"/>
        <v>180000</v>
      </c>
      <c r="EO21" s="3" t="s">
        <v>126</v>
      </c>
      <c r="EP21" s="3">
        <f t="shared" si="52"/>
        <v>0</v>
      </c>
      <c r="EQ21" s="3">
        <v>1000</v>
      </c>
      <c r="ER21" s="7">
        <f t="shared" si="53"/>
        <v>0</v>
      </c>
      <c r="ES21" s="3" t="s">
        <v>124</v>
      </c>
      <c r="ET21" s="2">
        <v>1</v>
      </c>
      <c r="EU21" s="3">
        <v>60000</v>
      </c>
      <c r="EV21" s="3">
        <f t="shared" si="28"/>
        <v>60000</v>
      </c>
      <c r="EW21" s="3" t="s">
        <v>124</v>
      </c>
      <c r="EX21" s="13">
        <v>10</v>
      </c>
      <c r="EY21" s="3">
        <v>60000</v>
      </c>
      <c r="EZ21" s="3">
        <f t="shared" si="29"/>
        <v>600000</v>
      </c>
      <c r="FA21" s="2" t="s">
        <v>170</v>
      </c>
      <c r="FB21" s="13"/>
      <c r="FC21" s="3">
        <v>1000</v>
      </c>
      <c r="FD21" s="3">
        <f t="shared" si="30"/>
        <v>0</v>
      </c>
      <c r="FE21" s="3" t="s">
        <v>126</v>
      </c>
      <c r="FF21" s="3">
        <f t="shared" si="54"/>
        <v>200</v>
      </c>
      <c r="FG21" s="3">
        <v>6000</v>
      </c>
      <c r="FH21" s="3">
        <f t="shared" si="31"/>
        <v>1200000</v>
      </c>
      <c r="FI21" s="1">
        <f t="shared" si="32"/>
        <v>3494000</v>
      </c>
      <c r="FJ21" s="3" t="s">
        <v>139</v>
      </c>
      <c r="FK21" s="2">
        <v>60</v>
      </c>
      <c r="FL21" s="2">
        <v>6000</v>
      </c>
      <c r="FM21" s="3">
        <f t="shared" si="33"/>
        <v>360000</v>
      </c>
      <c r="FN21" s="3" t="s">
        <v>139</v>
      </c>
      <c r="FO21" s="13"/>
      <c r="FP21" s="3">
        <v>6000</v>
      </c>
      <c r="FQ21" s="3">
        <f t="shared" si="55"/>
        <v>0</v>
      </c>
      <c r="FR21" s="3" t="s">
        <v>139</v>
      </c>
      <c r="FS21" s="13"/>
      <c r="FT21" s="13"/>
      <c r="FU21" s="3">
        <f t="shared" si="34"/>
        <v>0</v>
      </c>
      <c r="FV21" s="3" t="s">
        <v>139</v>
      </c>
      <c r="FW21" s="13"/>
      <c r="FX21" s="3">
        <v>8000</v>
      </c>
      <c r="FY21" s="3">
        <f t="shared" si="35"/>
        <v>0</v>
      </c>
      <c r="FZ21" s="3" t="s">
        <v>139</v>
      </c>
      <c r="GA21" s="3">
        <v>2</v>
      </c>
      <c r="GB21" s="3">
        <v>8000</v>
      </c>
      <c r="GC21" s="3">
        <f t="shared" si="36"/>
        <v>16000</v>
      </c>
      <c r="GD21" s="3" t="s">
        <v>139</v>
      </c>
      <c r="GE21" s="3">
        <v>10</v>
      </c>
      <c r="GF21" s="3">
        <v>10000</v>
      </c>
      <c r="GG21" s="3">
        <f t="shared" si="37"/>
        <v>100000</v>
      </c>
      <c r="GH21" s="3" t="s">
        <v>139</v>
      </c>
      <c r="GI21" s="13"/>
      <c r="GJ21" s="13"/>
      <c r="GK21" s="3">
        <f t="shared" si="38"/>
        <v>0</v>
      </c>
      <c r="GL21" s="92">
        <f t="shared" si="39"/>
        <v>476000</v>
      </c>
      <c r="GM21" s="8">
        <f t="shared" si="40"/>
        <v>5683000</v>
      </c>
      <c r="GN21" s="8">
        <f t="shared" si="41"/>
        <v>12000</v>
      </c>
      <c r="GO21" s="99">
        <v>4000</v>
      </c>
      <c r="GP21" s="8">
        <f t="shared" si="56"/>
        <v>48000000</v>
      </c>
      <c r="GQ21" s="8">
        <f t="shared" si="42"/>
        <v>72000000</v>
      </c>
      <c r="GR21" s="8">
        <f t="shared" si="43"/>
        <v>42317000</v>
      </c>
      <c r="GS21" s="8">
        <f t="shared" si="44"/>
        <v>66317000</v>
      </c>
      <c r="GT21" s="15" t="s">
        <v>1741</v>
      </c>
      <c r="GU21" s="47" t="s">
        <v>1740</v>
      </c>
    </row>
    <row r="22" spans="1:203" ht="158.25" customHeight="1">
      <c r="A22" s="44">
        <v>23</v>
      </c>
      <c r="B22" s="23" t="s">
        <v>35</v>
      </c>
      <c r="C22" s="15" t="s">
        <v>215</v>
      </c>
      <c r="D22" s="13" t="s">
        <v>73</v>
      </c>
      <c r="E22" s="13" t="s">
        <v>399</v>
      </c>
      <c r="F22" s="15" t="s">
        <v>721</v>
      </c>
      <c r="G22" s="13" t="s">
        <v>684</v>
      </c>
      <c r="H22" s="13" t="s">
        <v>88</v>
      </c>
      <c r="I22" s="13" t="s">
        <v>400</v>
      </c>
      <c r="J22" s="13" t="s">
        <v>74</v>
      </c>
      <c r="K22" s="13" t="s">
        <v>75</v>
      </c>
      <c r="L22" s="15" t="s">
        <v>568</v>
      </c>
      <c r="M22" s="15" t="s">
        <v>216</v>
      </c>
      <c r="N22" s="13" t="s">
        <v>76</v>
      </c>
      <c r="O22" s="15" t="s">
        <v>223</v>
      </c>
      <c r="P22" s="15" t="s">
        <v>224</v>
      </c>
      <c r="Q22" s="15" t="s">
        <v>222</v>
      </c>
      <c r="R22" s="15">
        <v>700</v>
      </c>
      <c r="S22" s="15">
        <v>1000</v>
      </c>
      <c r="T22" s="15">
        <v>10000</v>
      </c>
      <c r="U22" s="15">
        <v>140</v>
      </c>
      <c r="V22" s="15">
        <v>150</v>
      </c>
      <c r="W22" s="15" t="s">
        <v>220</v>
      </c>
      <c r="X22" s="15">
        <v>6</v>
      </c>
      <c r="Y22" s="15">
        <v>8</v>
      </c>
      <c r="Z22" s="15" t="s">
        <v>221</v>
      </c>
      <c r="AA22" s="15" t="s">
        <v>217</v>
      </c>
      <c r="AB22" s="15" t="s">
        <v>225</v>
      </c>
      <c r="AC22" s="3">
        <v>50000</v>
      </c>
      <c r="AD22" s="13">
        <v>20</v>
      </c>
      <c r="AE22" s="13">
        <v>0</v>
      </c>
      <c r="AF22" s="3">
        <v>80000</v>
      </c>
      <c r="AG22" s="3">
        <f t="shared" si="45"/>
        <v>1000000</v>
      </c>
      <c r="AH22" s="15" t="s">
        <v>401</v>
      </c>
      <c r="AI22" s="13"/>
      <c r="AJ22" s="13"/>
      <c r="AK22" s="13">
        <v>300</v>
      </c>
      <c r="AL22" s="13">
        <v>6000</v>
      </c>
      <c r="AM22" s="13">
        <v>110</v>
      </c>
      <c r="AN22" s="13">
        <v>3000</v>
      </c>
      <c r="AO22" s="13">
        <v>80</v>
      </c>
      <c r="AP22" s="13">
        <v>6000</v>
      </c>
      <c r="AQ22" s="2">
        <f t="shared" si="0"/>
        <v>2610000</v>
      </c>
      <c r="AR22" s="15" t="s">
        <v>218</v>
      </c>
      <c r="AS22" s="15" t="s">
        <v>219</v>
      </c>
      <c r="AT22" s="2" t="s">
        <v>139</v>
      </c>
      <c r="AU22" s="13"/>
      <c r="AV22" s="3">
        <v>6000</v>
      </c>
      <c r="AW22" s="2">
        <f t="shared" si="72"/>
        <v>0</v>
      </c>
      <c r="AX22" s="2" t="s">
        <v>139</v>
      </c>
      <c r="AY22" s="13"/>
      <c r="AZ22" s="3">
        <v>6000</v>
      </c>
      <c r="BA22" s="2">
        <f t="shared" si="2"/>
        <v>0</v>
      </c>
      <c r="BB22" s="2" t="s">
        <v>139</v>
      </c>
      <c r="BC22" s="13"/>
      <c r="BD22" s="13"/>
      <c r="BE22" s="3">
        <f t="shared" si="3"/>
        <v>0</v>
      </c>
      <c r="BF22" s="3" t="s">
        <v>125</v>
      </c>
      <c r="BG22" s="13"/>
      <c r="BH22" s="13"/>
      <c r="BI22" s="13"/>
      <c r="BJ22" s="3" t="s">
        <v>126</v>
      </c>
      <c r="BK22" s="13"/>
      <c r="BL22" s="3">
        <v>1000</v>
      </c>
      <c r="BM22" s="3">
        <f t="shared" si="62"/>
        <v>0</v>
      </c>
      <c r="BN22" s="13" t="s">
        <v>20</v>
      </c>
      <c r="BO22" s="13"/>
      <c r="BP22" s="2">
        <v>3000</v>
      </c>
      <c r="BQ22" s="13"/>
      <c r="BR22" s="2" t="s">
        <v>126</v>
      </c>
      <c r="BS22" s="13"/>
      <c r="BT22" s="2">
        <f>6000</f>
        <v>6000</v>
      </c>
      <c r="BU22" s="3">
        <f t="shared" si="7"/>
        <v>0</v>
      </c>
      <c r="BV22" s="2" t="s">
        <v>126</v>
      </c>
      <c r="BW22" s="13"/>
      <c r="BX22" s="2">
        <v>6000</v>
      </c>
      <c r="BY22" s="3">
        <f t="shared" si="73"/>
        <v>0</v>
      </c>
      <c r="BZ22" s="92">
        <f t="shared" si="9"/>
        <v>0</v>
      </c>
      <c r="CA22" s="2" t="s">
        <v>139</v>
      </c>
      <c r="CB22" s="3">
        <v>5</v>
      </c>
      <c r="CC22" s="3">
        <v>8000</v>
      </c>
      <c r="CD22" s="3">
        <f t="shared" si="10"/>
        <v>40000</v>
      </c>
      <c r="CE22" s="2" t="s">
        <v>139</v>
      </c>
      <c r="CF22" s="2">
        <v>30</v>
      </c>
      <c r="CG22" s="2">
        <v>6000</v>
      </c>
      <c r="CH22" s="3">
        <f t="shared" si="11"/>
        <v>180000</v>
      </c>
      <c r="CI22" s="3" t="s">
        <v>139</v>
      </c>
      <c r="CJ22" s="3">
        <v>1</v>
      </c>
      <c r="CK22" s="13"/>
      <c r="CL22" s="3">
        <f t="shared" si="12"/>
        <v>0</v>
      </c>
      <c r="CM22" s="5">
        <f t="shared" si="13"/>
        <v>220000</v>
      </c>
      <c r="CN22" s="2" t="s">
        <v>139</v>
      </c>
      <c r="CO22" s="2"/>
      <c r="CP22" s="2">
        <v>6000</v>
      </c>
      <c r="CQ22" s="2">
        <f t="shared" si="14"/>
        <v>0</v>
      </c>
      <c r="CR22" s="2" t="s">
        <v>139</v>
      </c>
      <c r="CS22" s="13"/>
      <c r="CT22" s="13"/>
      <c r="CU22" s="2">
        <f t="shared" ref="CU22:CU36" si="83">CS22*CT22</f>
        <v>0</v>
      </c>
      <c r="CV22" s="2" t="s">
        <v>139</v>
      </c>
      <c r="CW22" s="2">
        <v>15</v>
      </c>
      <c r="CX22" s="2">
        <v>6000</v>
      </c>
      <c r="CY22" s="2">
        <f t="shared" si="16"/>
        <v>90000</v>
      </c>
      <c r="CZ22" s="2" t="s">
        <v>139</v>
      </c>
      <c r="DA22" s="2">
        <v>10</v>
      </c>
      <c r="DB22" s="2">
        <v>6000</v>
      </c>
      <c r="DC22" s="2">
        <f t="shared" si="17"/>
        <v>60000</v>
      </c>
      <c r="DD22" s="2" t="s">
        <v>139</v>
      </c>
      <c r="DE22" s="2">
        <v>2</v>
      </c>
      <c r="DF22" s="2">
        <v>6000</v>
      </c>
      <c r="DG22" s="2">
        <f t="shared" si="18"/>
        <v>12000</v>
      </c>
      <c r="DH22" s="2" t="s">
        <v>139</v>
      </c>
      <c r="DI22" s="13"/>
      <c r="DJ22" s="2">
        <v>6000</v>
      </c>
      <c r="DK22" s="2">
        <f t="shared" si="19"/>
        <v>0</v>
      </c>
      <c r="DL22" s="3" t="s">
        <v>125</v>
      </c>
      <c r="DM22" s="13"/>
      <c r="DN22" s="3">
        <v>6000</v>
      </c>
      <c r="DO22" s="2">
        <f t="shared" ref="DO22:DO36" si="84">DM22*DN22</f>
        <v>0</v>
      </c>
      <c r="DP22" s="2" t="s">
        <v>139</v>
      </c>
      <c r="DQ22" s="13"/>
      <c r="DR22" s="3">
        <v>6000</v>
      </c>
      <c r="DS22" s="2">
        <f t="shared" si="21"/>
        <v>0</v>
      </c>
      <c r="DT22" s="6">
        <f t="shared" si="22"/>
        <v>162000</v>
      </c>
      <c r="DU22" s="2" t="s">
        <v>157</v>
      </c>
      <c r="DV22" s="3">
        <f t="shared" si="46"/>
        <v>700</v>
      </c>
      <c r="DW22" s="3">
        <f t="shared" si="47"/>
        <v>10000</v>
      </c>
      <c r="DX22" s="3">
        <f t="shared" si="23"/>
        <v>7000000</v>
      </c>
      <c r="DY22" s="3" t="s">
        <v>127</v>
      </c>
      <c r="DZ22" s="3">
        <f t="shared" si="48"/>
        <v>20</v>
      </c>
      <c r="EA22" s="2">
        <v>50000</v>
      </c>
      <c r="EB22" s="3">
        <f t="shared" si="24"/>
        <v>1000000</v>
      </c>
      <c r="EC22" s="2" t="s">
        <v>127</v>
      </c>
      <c r="ED22" s="3">
        <f t="shared" si="49"/>
        <v>0</v>
      </c>
      <c r="EE22" s="3">
        <v>80000</v>
      </c>
      <c r="EF22" s="3">
        <f t="shared" si="25"/>
        <v>0</v>
      </c>
      <c r="EG22" s="2" t="s">
        <v>157</v>
      </c>
      <c r="EH22" s="3">
        <f t="shared" si="50"/>
        <v>300</v>
      </c>
      <c r="EI22" s="3">
        <v>6000</v>
      </c>
      <c r="EJ22" s="7">
        <f t="shared" si="26"/>
        <v>1800000</v>
      </c>
      <c r="EK22" s="2" t="s">
        <v>157</v>
      </c>
      <c r="EL22" s="13"/>
      <c r="EM22" s="3">
        <v>3000</v>
      </c>
      <c r="EN22" s="3">
        <f t="shared" si="27"/>
        <v>0</v>
      </c>
      <c r="EO22" s="3" t="s">
        <v>126</v>
      </c>
      <c r="EP22" s="3">
        <f t="shared" si="52"/>
        <v>0</v>
      </c>
      <c r="EQ22" s="3">
        <v>1000</v>
      </c>
      <c r="ER22" s="7">
        <f t="shared" si="53"/>
        <v>0</v>
      </c>
      <c r="ES22" s="3" t="s">
        <v>124</v>
      </c>
      <c r="ET22" s="2">
        <v>1</v>
      </c>
      <c r="EU22" s="3">
        <v>60000</v>
      </c>
      <c r="EV22" s="3">
        <f t="shared" si="28"/>
        <v>60000</v>
      </c>
      <c r="EW22" s="3" t="s">
        <v>124</v>
      </c>
      <c r="EX22" s="13"/>
      <c r="EY22" s="3">
        <v>60000</v>
      </c>
      <c r="EZ22" s="3">
        <f t="shared" si="29"/>
        <v>0</v>
      </c>
      <c r="FA22" s="2" t="s">
        <v>170</v>
      </c>
      <c r="FB22" s="13"/>
      <c r="FC22" s="3">
        <v>1000</v>
      </c>
      <c r="FD22" s="3">
        <f t="shared" si="30"/>
        <v>0</v>
      </c>
      <c r="FE22" s="3" t="s">
        <v>126</v>
      </c>
      <c r="FF22" s="3">
        <f t="shared" si="54"/>
        <v>80</v>
      </c>
      <c r="FG22" s="3">
        <v>6000</v>
      </c>
      <c r="FH22" s="3">
        <f t="shared" si="31"/>
        <v>480000</v>
      </c>
      <c r="FI22" s="1">
        <f t="shared" si="32"/>
        <v>10340000</v>
      </c>
      <c r="FJ22" s="3" t="s">
        <v>139</v>
      </c>
      <c r="FK22" s="2">
        <v>60</v>
      </c>
      <c r="FL22" s="2">
        <v>6000</v>
      </c>
      <c r="FM22" s="3">
        <f t="shared" si="33"/>
        <v>360000</v>
      </c>
      <c r="FN22" s="3" t="s">
        <v>139</v>
      </c>
      <c r="FO22" s="13"/>
      <c r="FP22" s="3">
        <v>6000</v>
      </c>
      <c r="FQ22" s="3">
        <f t="shared" si="55"/>
        <v>0</v>
      </c>
      <c r="FR22" s="3" t="s">
        <v>139</v>
      </c>
      <c r="FS22" s="13"/>
      <c r="FT22" s="13"/>
      <c r="FU22" s="3">
        <f t="shared" si="34"/>
        <v>0</v>
      </c>
      <c r="FV22" s="3" t="s">
        <v>139</v>
      </c>
      <c r="FW22" s="13"/>
      <c r="FX22" s="3">
        <v>8000</v>
      </c>
      <c r="FY22" s="3">
        <f t="shared" si="35"/>
        <v>0</v>
      </c>
      <c r="FZ22" s="3" t="s">
        <v>139</v>
      </c>
      <c r="GA22" s="3">
        <v>2</v>
      </c>
      <c r="GB22" s="3">
        <v>8000</v>
      </c>
      <c r="GC22" s="3">
        <f t="shared" si="36"/>
        <v>16000</v>
      </c>
      <c r="GD22" s="3" t="s">
        <v>139</v>
      </c>
      <c r="GE22" s="3">
        <v>10</v>
      </c>
      <c r="GF22" s="3">
        <v>10000</v>
      </c>
      <c r="GG22" s="3">
        <f t="shared" si="37"/>
        <v>100000</v>
      </c>
      <c r="GH22" s="3" t="s">
        <v>139</v>
      </c>
      <c r="GI22" s="13"/>
      <c r="GJ22" s="13"/>
      <c r="GK22" s="3">
        <f t="shared" si="38"/>
        <v>0</v>
      </c>
      <c r="GL22" s="92">
        <f t="shared" si="39"/>
        <v>476000</v>
      </c>
      <c r="GM22" s="8">
        <f t="shared" si="40"/>
        <v>11198000</v>
      </c>
      <c r="GN22" s="8">
        <f t="shared" si="41"/>
        <v>6000</v>
      </c>
      <c r="GO22" s="99">
        <v>3000</v>
      </c>
      <c r="GP22" s="8">
        <f t="shared" si="56"/>
        <v>18000000</v>
      </c>
      <c r="GQ22" s="8">
        <f t="shared" si="42"/>
        <v>24000000</v>
      </c>
      <c r="GR22" s="8">
        <f t="shared" si="43"/>
        <v>6802000</v>
      </c>
      <c r="GS22" s="8">
        <f t="shared" si="44"/>
        <v>12802000</v>
      </c>
      <c r="GT22" s="15" t="s">
        <v>1743</v>
      </c>
      <c r="GU22" s="47" t="s">
        <v>1742</v>
      </c>
    </row>
    <row r="23" spans="1:203" ht="158.25" customHeight="1">
      <c r="A23" s="44">
        <v>24</v>
      </c>
      <c r="B23" s="23" t="s">
        <v>35</v>
      </c>
      <c r="C23" s="15" t="s">
        <v>197</v>
      </c>
      <c r="D23" s="15" t="s">
        <v>199</v>
      </c>
      <c r="E23" s="15" t="s">
        <v>200</v>
      </c>
      <c r="F23" s="15" t="s">
        <v>722</v>
      </c>
      <c r="G23" s="13" t="s">
        <v>685</v>
      </c>
      <c r="H23" s="15" t="s">
        <v>88</v>
      </c>
      <c r="I23" s="13" t="s">
        <v>402</v>
      </c>
      <c r="J23" s="15" t="s">
        <v>202</v>
      </c>
      <c r="K23" s="15" t="s">
        <v>203</v>
      </c>
      <c r="L23" s="15" t="s">
        <v>572</v>
      </c>
      <c r="M23" s="13" t="s">
        <v>24</v>
      </c>
      <c r="N23" s="15" t="s">
        <v>204</v>
      </c>
      <c r="O23" s="15" t="s">
        <v>206</v>
      </c>
      <c r="P23" s="15" t="s">
        <v>213</v>
      </c>
      <c r="Q23" s="14" t="s">
        <v>128</v>
      </c>
      <c r="R23" s="15">
        <v>3</v>
      </c>
      <c r="S23" s="15">
        <v>6</v>
      </c>
      <c r="T23" s="15">
        <v>300000</v>
      </c>
      <c r="U23" s="3">
        <v>120</v>
      </c>
      <c r="V23" s="15">
        <v>150</v>
      </c>
      <c r="W23" s="7" t="s">
        <v>207</v>
      </c>
      <c r="X23" s="15">
        <v>6</v>
      </c>
      <c r="Y23" s="15">
        <v>10</v>
      </c>
      <c r="Z23" s="15" t="s">
        <v>208</v>
      </c>
      <c r="AA23" s="15" t="s">
        <v>209</v>
      </c>
      <c r="AB23" s="15" t="s">
        <v>210</v>
      </c>
      <c r="AC23" s="3">
        <v>50000</v>
      </c>
      <c r="AD23" s="13">
        <v>15</v>
      </c>
      <c r="AE23" s="13">
        <v>0</v>
      </c>
      <c r="AF23" s="3">
        <v>80000</v>
      </c>
      <c r="AG23" s="3">
        <f t="shared" si="45"/>
        <v>750000</v>
      </c>
      <c r="AH23" s="3" t="s">
        <v>403</v>
      </c>
      <c r="AI23" s="13"/>
      <c r="AJ23" s="13">
        <v>1000</v>
      </c>
      <c r="AK23" s="13">
        <v>6</v>
      </c>
      <c r="AL23" s="13">
        <v>6000</v>
      </c>
      <c r="AM23" s="13">
        <v>50</v>
      </c>
      <c r="AN23" s="13">
        <v>3000</v>
      </c>
      <c r="AO23" s="13">
        <v>150</v>
      </c>
      <c r="AP23" s="13">
        <v>6000</v>
      </c>
      <c r="AQ23" s="2">
        <f t="shared" si="0"/>
        <v>1086000</v>
      </c>
      <c r="AR23" s="15" t="s">
        <v>211</v>
      </c>
      <c r="AS23" s="13"/>
      <c r="AT23" s="2" t="s">
        <v>139</v>
      </c>
      <c r="AU23" s="13">
        <v>7.5</v>
      </c>
      <c r="AV23" s="3">
        <v>6000</v>
      </c>
      <c r="AW23" s="2">
        <f t="shared" si="72"/>
        <v>45000</v>
      </c>
      <c r="AX23" s="2" t="s">
        <v>139</v>
      </c>
      <c r="AY23" s="13">
        <v>5</v>
      </c>
      <c r="AZ23" s="3">
        <v>6000</v>
      </c>
      <c r="BA23" s="2">
        <f t="shared" si="2"/>
        <v>30000</v>
      </c>
      <c r="BB23" s="2" t="s">
        <v>139</v>
      </c>
      <c r="BC23" s="13">
        <v>2</v>
      </c>
      <c r="BD23" s="3">
        <v>6000</v>
      </c>
      <c r="BE23" s="3">
        <f t="shared" si="3"/>
        <v>12000</v>
      </c>
      <c r="BF23" s="3" t="s">
        <v>125</v>
      </c>
      <c r="BG23" s="2">
        <v>2</v>
      </c>
      <c r="BH23" s="3">
        <v>6000</v>
      </c>
      <c r="BI23" s="3">
        <f t="shared" ref="BI23:BI51" si="85">BG23*BH23</f>
        <v>12000</v>
      </c>
      <c r="BJ23" s="3" t="s">
        <v>126</v>
      </c>
      <c r="BK23" s="13"/>
      <c r="BL23" s="3">
        <v>1000</v>
      </c>
      <c r="BM23" s="3">
        <f t="shared" si="62"/>
        <v>0</v>
      </c>
      <c r="BN23" s="13" t="s">
        <v>20</v>
      </c>
      <c r="BO23" s="13"/>
      <c r="BP23" s="2">
        <v>3000</v>
      </c>
      <c r="BQ23" s="13"/>
      <c r="BR23" s="2" t="s">
        <v>126</v>
      </c>
      <c r="BS23" s="13"/>
      <c r="BT23" s="2">
        <f>6000</f>
        <v>6000</v>
      </c>
      <c r="BU23" s="3">
        <f t="shared" si="7"/>
        <v>0</v>
      </c>
      <c r="BV23" s="2" t="s">
        <v>126</v>
      </c>
      <c r="BW23" s="13">
        <v>6</v>
      </c>
      <c r="BX23" s="2">
        <v>6000</v>
      </c>
      <c r="BY23" s="3">
        <f t="shared" si="73"/>
        <v>36000</v>
      </c>
      <c r="BZ23" s="92">
        <f t="shared" si="9"/>
        <v>105000</v>
      </c>
      <c r="CA23" s="2" t="s">
        <v>139</v>
      </c>
      <c r="CB23" s="3">
        <v>5</v>
      </c>
      <c r="CC23" s="3">
        <v>8000</v>
      </c>
      <c r="CD23" s="3">
        <f t="shared" si="10"/>
        <v>40000</v>
      </c>
      <c r="CE23" s="2" t="s">
        <v>139</v>
      </c>
      <c r="CF23" s="2">
        <v>1</v>
      </c>
      <c r="CG23" s="2">
        <v>150000</v>
      </c>
      <c r="CH23" s="3">
        <f t="shared" si="11"/>
        <v>150000</v>
      </c>
      <c r="CI23" s="3" t="s">
        <v>139</v>
      </c>
      <c r="CJ23" s="3">
        <v>1</v>
      </c>
      <c r="CK23" s="13"/>
      <c r="CL23" s="3">
        <f t="shared" si="12"/>
        <v>0</v>
      </c>
      <c r="CM23" s="5">
        <f t="shared" si="13"/>
        <v>190000</v>
      </c>
      <c r="CN23" s="3" t="s">
        <v>125</v>
      </c>
      <c r="CO23" s="3">
        <v>0</v>
      </c>
      <c r="CP23" s="3">
        <v>6000</v>
      </c>
      <c r="CQ23" s="3">
        <f t="shared" ref="CQ23:CQ24" si="86">CO23*CP23</f>
        <v>0</v>
      </c>
      <c r="CR23" s="3" t="s">
        <v>125</v>
      </c>
      <c r="CS23" s="3">
        <v>75</v>
      </c>
      <c r="CT23" s="3">
        <v>6000</v>
      </c>
      <c r="CU23" s="3">
        <f t="shared" si="83"/>
        <v>450000</v>
      </c>
      <c r="CV23" s="3" t="s">
        <v>125</v>
      </c>
      <c r="CW23" s="3">
        <v>30</v>
      </c>
      <c r="CX23" s="3">
        <v>6000</v>
      </c>
      <c r="CY23" s="3">
        <f t="shared" ref="CY23:CY24" si="87">CW23*CX23</f>
        <v>180000</v>
      </c>
      <c r="CZ23" s="3" t="s">
        <v>125</v>
      </c>
      <c r="DA23" s="3">
        <v>15</v>
      </c>
      <c r="DB23" s="3">
        <v>6000</v>
      </c>
      <c r="DC23" s="3">
        <f t="shared" ref="DC23:DC24" si="88">DA23*DB23</f>
        <v>90000</v>
      </c>
      <c r="DD23" s="3" t="s">
        <v>125</v>
      </c>
      <c r="DE23" s="3">
        <v>5</v>
      </c>
      <c r="DF23" s="3">
        <v>6000</v>
      </c>
      <c r="DG23" s="3">
        <f t="shared" ref="DG23:DG24" si="89">DE23*DF23</f>
        <v>30000</v>
      </c>
      <c r="DH23" s="3" t="s">
        <v>125</v>
      </c>
      <c r="DI23" s="3">
        <v>100</v>
      </c>
      <c r="DJ23" s="3">
        <v>6000</v>
      </c>
      <c r="DK23" s="3">
        <f t="shared" ref="DK23:DK24" si="90">DI23*DJ23</f>
        <v>600000</v>
      </c>
      <c r="DL23" s="3" t="s">
        <v>125</v>
      </c>
      <c r="DM23" s="3"/>
      <c r="DN23" s="3">
        <v>6000</v>
      </c>
      <c r="DO23" s="3">
        <f t="shared" si="84"/>
        <v>0</v>
      </c>
      <c r="DP23" s="3" t="s">
        <v>125</v>
      </c>
      <c r="DQ23" s="3"/>
      <c r="DR23" s="3">
        <v>6000</v>
      </c>
      <c r="DS23" s="3">
        <f t="shared" ref="DS23:DS24" si="91">DQ23*DR23</f>
        <v>0</v>
      </c>
      <c r="DT23" s="6">
        <f t="shared" ref="DT23:DT24" si="92">CQ23+CU23+CY23+DC23+DG23+DK23+DO23+DS23</f>
        <v>1350000</v>
      </c>
      <c r="DU23" s="2" t="s">
        <v>157</v>
      </c>
      <c r="DV23" s="3">
        <f t="shared" si="46"/>
        <v>3</v>
      </c>
      <c r="DW23" s="3">
        <f t="shared" si="47"/>
        <v>300000</v>
      </c>
      <c r="DX23" s="3">
        <f t="shared" si="23"/>
        <v>900000</v>
      </c>
      <c r="DY23" s="3" t="s">
        <v>127</v>
      </c>
      <c r="DZ23" s="3">
        <f t="shared" si="48"/>
        <v>15</v>
      </c>
      <c r="EA23" s="2">
        <v>50000</v>
      </c>
      <c r="EB23" s="3">
        <f t="shared" si="24"/>
        <v>750000</v>
      </c>
      <c r="EC23" s="2" t="s">
        <v>127</v>
      </c>
      <c r="ED23" s="3">
        <f t="shared" si="49"/>
        <v>0</v>
      </c>
      <c r="EE23" s="3">
        <v>80000</v>
      </c>
      <c r="EF23" s="3">
        <f t="shared" si="25"/>
        <v>0</v>
      </c>
      <c r="EG23" s="2" t="s">
        <v>157</v>
      </c>
      <c r="EH23" s="3">
        <f t="shared" si="50"/>
        <v>6</v>
      </c>
      <c r="EI23" s="3">
        <v>6000</v>
      </c>
      <c r="EJ23" s="7">
        <f t="shared" si="26"/>
        <v>36000</v>
      </c>
      <c r="EK23" s="2" t="s">
        <v>157</v>
      </c>
      <c r="EL23" s="13">
        <v>50</v>
      </c>
      <c r="EM23" s="3">
        <v>3000</v>
      </c>
      <c r="EN23" s="3">
        <f t="shared" si="27"/>
        <v>150000</v>
      </c>
      <c r="EO23" s="3" t="s">
        <v>126</v>
      </c>
      <c r="EP23" s="3">
        <f t="shared" si="52"/>
        <v>0</v>
      </c>
      <c r="EQ23" s="3">
        <v>1000</v>
      </c>
      <c r="ER23" s="7">
        <f t="shared" si="53"/>
        <v>0</v>
      </c>
      <c r="ES23" s="3" t="s">
        <v>124</v>
      </c>
      <c r="ET23" s="2">
        <v>1</v>
      </c>
      <c r="EU23" s="3">
        <v>60000</v>
      </c>
      <c r="EV23" s="3">
        <f t="shared" si="28"/>
        <v>60000</v>
      </c>
      <c r="EW23" s="3" t="s">
        <v>124</v>
      </c>
      <c r="EX23" s="13">
        <v>10</v>
      </c>
      <c r="EY23" s="3">
        <v>60000</v>
      </c>
      <c r="EZ23" s="3">
        <f t="shared" si="29"/>
        <v>600000</v>
      </c>
      <c r="FA23" s="2" t="s">
        <v>170</v>
      </c>
      <c r="FB23" s="13"/>
      <c r="FC23" s="3">
        <v>1000</v>
      </c>
      <c r="FD23" s="3">
        <f t="shared" si="30"/>
        <v>0</v>
      </c>
      <c r="FE23" s="3" t="s">
        <v>126</v>
      </c>
      <c r="FF23" s="3">
        <f t="shared" si="54"/>
        <v>150</v>
      </c>
      <c r="FG23" s="3">
        <v>6000</v>
      </c>
      <c r="FH23" s="3">
        <f t="shared" si="31"/>
        <v>900000</v>
      </c>
      <c r="FI23" s="1">
        <f t="shared" si="32"/>
        <v>3396000</v>
      </c>
      <c r="FJ23" s="3" t="s">
        <v>139</v>
      </c>
      <c r="FK23" s="2">
        <v>50</v>
      </c>
      <c r="FL23" s="2">
        <v>6000</v>
      </c>
      <c r="FM23" s="3">
        <f t="shared" si="33"/>
        <v>300000</v>
      </c>
      <c r="FN23" s="3" t="s">
        <v>139</v>
      </c>
      <c r="FO23" s="13"/>
      <c r="FP23" s="3">
        <v>6000</v>
      </c>
      <c r="FQ23" s="3">
        <f t="shared" si="55"/>
        <v>0</v>
      </c>
      <c r="FR23" s="3" t="s">
        <v>139</v>
      </c>
      <c r="FS23" s="13"/>
      <c r="FT23" s="13">
        <v>6000</v>
      </c>
      <c r="FU23" s="3">
        <f t="shared" si="34"/>
        <v>0</v>
      </c>
      <c r="FV23" s="3" t="s">
        <v>139</v>
      </c>
      <c r="FW23" s="13"/>
      <c r="FX23" s="3">
        <v>8000</v>
      </c>
      <c r="FY23" s="3">
        <f t="shared" si="35"/>
        <v>0</v>
      </c>
      <c r="FZ23" s="3" t="s">
        <v>139</v>
      </c>
      <c r="GA23" s="3">
        <v>2</v>
      </c>
      <c r="GB23" s="3">
        <v>8000</v>
      </c>
      <c r="GC23" s="3">
        <f t="shared" si="36"/>
        <v>16000</v>
      </c>
      <c r="GD23" s="3" t="s">
        <v>139</v>
      </c>
      <c r="GE23" s="3">
        <v>10</v>
      </c>
      <c r="GF23" s="3">
        <v>10000</v>
      </c>
      <c r="GG23" s="3">
        <f t="shared" si="37"/>
        <v>100000</v>
      </c>
      <c r="GH23" s="3" t="s">
        <v>139</v>
      </c>
      <c r="GI23" s="13"/>
      <c r="GJ23" s="13"/>
      <c r="GK23" s="3">
        <f t="shared" si="38"/>
        <v>0</v>
      </c>
      <c r="GL23" s="92">
        <f t="shared" si="39"/>
        <v>416000</v>
      </c>
      <c r="GM23" s="8">
        <f t="shared" si="40"/>
        <v>5457000</v>
      </c>
      <c r="GN23" s="8">
        <f t="shared" si="41"/>
        <v>6000</v>
      </c>
      <c r="GO23" s="99">
        <v>7000</v>
      </c>
      <c r="GP23" s="8">
        <f t="shared" si="56"/>
        <v>42000000</v>
      </c>
      <c r="GQ23" s="8">
        <f t="shared" si="42"/>
        <v>70000000</v>
      </c>
      <c r="GR23" s="8">
        <f t="shared" si="43"/>
        <v>36543000</v>
      </c>
      <c r="GS23" s="8">
        <f t="shared" si="44"/>
        <v>64543000</v>
      </c>
      <c r="GT23" s="15" t="s">
        <v>1744</v>
      </c>
      <c r="GU23" s="48"/>
    </row>
    <row r="24" spans="1:203" ht="158.25" customHeight="1">
      <c r="A24" s="44">
        <v>25</v>
      </c>
      <c r="B24" s="23" t="s">
        <v>21</v>
      </c>
      <c r="C24" s="15" t="s">
        <v>228</v>
      </c>
      <c r="D24" s="13" t="s">
        <v>226</v>
      </c>
      <c r="E24" s="13" t="s">
        <v>229</v>
      </c>
      <c r="F24" s="15" t="s">
        <v>229</v>
      </c>
      <c r="G24" s="13" t="s">
        <v>22</v>
      </c>
      <c r="H24" s="13" t="s">
        <v>404</v>
      </c>
      <c r="I24" s="13" t="s">
        <v>405</v>
      </c>
      <c r="J24" s="13" t="s">
        <v>23</v>
      </c>
      <c r="K24" s="13" t="s">
        <v>406</v>
      </c>
      <c r="L24" s="13" t="s">
        <v>569</v>
      </c>
      <c r="M24" s="15" t="s">
        <v>230</v>
      </c>
      <c r="N24" s="18" t="s">
        <v>231</v>
      </c>
      <c r="O24" s="13" t="s">
        <v>407</v>
      </c>
      <c r="P24" s="15" t="s">
        <v>246</v>
      </c>
      <c r="Q24" s="15" t="s">
        <v>128</v>
      </c>
      <c r="R24" s="15">
        <v>0.3</v>
      </c>
      <c r="S24" s="15">
        <v>0.4</v>
      </c>
      <c r="T24" s="15">
        <v>100000</v>
      </c>
      <c r="U24" s="15">
        <v>45</v>
      </c>
      <c r="V24" s="15">
        <v>60</v>
      </c>
      <c r="W24" s="15" t="s">
        <v>232</v>
      </c>
      <c r="X24" s="15">
        <v>8</v>
      </c>
      <c r="Y24" s="15">
        <v>12</v>
      </c>
      <c r="Z24" s="15" t="s">
        <v>234</v>
      </c>
      <c r="AA24" s="15" t="s">
        <v>235</v>
      </c>
      <c r="AB24" s="15" t="s">
        <v>237</v>
      </c>
      <c r="AC24" s="3">
        <v>50000</v>
      </c>
      <c r="AD24" s="13">
        <v>10</v>
      </c>
      <c r="AE24" s="13"/>
      <c r="AF24" s="3">
        <v>80000</v>
      </c>
      <c r="AG24" s="3">
        <f t="shared" si="45"/>
        <v>500000</v>
      </c>
      <c r="AH24" s="15" t="s">
        <v>408</v>
      </c>
      <c r="AI24" s="13">
        <v>500</v>
      </c>
      <c r="AJ24" s="13">
        <v>1000</v>
      </c>
      <c r="AK24" s="13">
        <v>300</v>
      </c>
      <c r="AL24" s="13">
        <v>6000</v>
      </c>
      <c r="AM24" s="13">
        <v>100</v>
      </c>
      <c r="AN24" s="13">
        <v>3000</v>
      </c>
      <c r="AO24" s="13">
        <v>100</v>
      </c>
      <c r="AP24" s="13">
        <v>6000</v>
      </c>
      <c r="AQ24" s="2">
        <f t="shared" si="0"/>
        <v>3200000</v>
      </c>
      <c r="AR24" s="15" t="s">
        <v>409</v>
      </c>
      <c r="AS24" s="15" t="s">
        <v>410</v>
      </c>
      <c r="AT24" s="2" t="s">
        <v>139</v>
      </c>
      <c r="AU24" s="13">
        <v>7.5</v>
      </c>
      <c r="AV24" s="3">
        <v>6000</v>
      </c>
      <c r="AW24" s="2">
        <f t="shared" si="72"/>
        <v>45000</v>
      </c>
      <c r="AX24" s="2" t="s">
        <v>139</v>
      </c>
      <c r="AY24" s="13">
        <v>5</v>
      </c>
      <c r="AZ24" s="3">
        <v>6000</v>
      </c>
      <c r="BA24" s="2">
        <f t="shared" si="2"/>
        <v>30000</v>
      </c>
      <c r="BB24" s="2" t="s">
        <v>139</v>
      </c>
      <c r="BC24" s="13">
        <v>2</v>
      </c>
      <c r="BD24" s="3">
        <v>6000</v>
      </c>
      <c r="BE24" s="3">
        <f t="shared" si="3"/>
        <v>12000</v>
      </c>
      <c r="BF24" s="3" t="s">
        <v>125</v>
      </c>
      <c r="BG24" s="13">
        <v>2</v>
      </c>
      <c r="BH24" s="3">
        <v>6000</v>
      </c>
      <c r="BI24" s="3">
        <f t="shared" si="85"/>
        <v>12000</v>
      </c>
      <c r="BJ24" s="3" t="s">
        <v>126</v>
      </c>
      <c r="BK24" s="13"/>
      <c r="BL24" s="3">
        <v>1000</v>
      </c>
      <c r="BM24" s="3">
        <f t="shared" si="62"/>
        <v>0</v>
      </c>
      <c r="BN24" s="13" t="s">
        <v>20</v>
      </c>
      <c r="BO24" s="13"/>
      <c r="BP24" s="2">
        <v>3000</v>
      </c>
      <c r="BQ24" s="3">
        <f t="shared" ref="BQ24:BQ33" si="93">BO24*BP24</f>
        <v>0</v>
      </c>
      <c r="BR24" s="2" t="s">
        <v>126</v>
      </c>
      <c r="BS24" s="13"/>
      <c r="BT24" s="2">
        <f>6000</f>
        <v>6000</v>
      </c>
      <c r="BU24" s="3">
        <f t="shared" si="7"/>
        <v>0</v>
      </c>
      <c r="BV24" s="2" t="s">
        <v>126</v>
      </c>
      <c r="BW24" s="13"/>
      <c r="BX24" s="2">
        <v>6000</v>
      </c>
      <c r="BY24" s="3">
        <f t="shared" si="73"/>
        <v>0</v>
      </c>
      <c r="BZ24" s="92">
        <f t="shared" si="9"/>
        <v>69000</v>
      </c>
      <c r="CA24" s="2" t="s">
        <v>139</v>
      </c>
      <c r="CB24" s="3">
        <v>5</v>
      </c>
      <c r="CC24" s="3">
        <v>8000</v>
      </c>
      <c r="CD24" s="3">
        <f t="shared" si="10"/>
        <v>40000</v>
      </c>
      <c r="CE24" s="2" t="s">
        <v>139</v>
      </c>
      <c r="CF24" s="2">
        <v>30</v>
      </c>
      <c r="CG24" s="2">
        <v>6000</v>
      </c>
      <c r="CH24" s="3">
        <f t="shared" si="11"/>
        <v>180000</v>
      </c>
      <c r="CI24" s="3" t="s">
        <v>139</v>
      </c>
      <c r="CJ24" s="3">
        <v>1</v>
      </c>
      <c r="CK24" s="13"/>
      <c r="CL24" s="3">
        <f t="shared" si="12"/>
        <v>0</v>
      </c>
      <c r="CM24" s="5">
        <f t="shared" si="13"/>
        <v>220000</v>
      </c>
      <c r="CN24" s="3" t="s">
        <v>125</v>
      </c>
      <c r="CO24" s="3">
        <v>0</v>
      </c>
      <c r="CP24" s="3">
        <v>6000</v>
      </c>
      <c r="CQ24" s="3">
        <f t="shared" si="86"/>
        <v>0</v>
      </c>
      <c r="CR24" s="3" t="s">
        <v>125</v>
      </c>
      <c r="CS24" s="3">
        <v>75</v>
      </c>
      <c r="CT24" s="3">
        <v>6000</v>
      </c>
      <c r="CU24" s="3">
        <f t="shared" si="83"/>
        <v>450000</v>
      </c>
      <c r="CV24" s="3" t="s">
        <v>125</v>
      </c>
      <c r="CW24" s="3">
        <v>30</v>
      </c>
      <c r="CX24" s="3">
        <v>6000</v>
      </c>
      <c r="CY24" s="3">
        <f t="shared" si="87"/>
        <v>180000</v>
      </c>
      <c r="CZ24" s="3" t="s">
        <v>125</v>
      </c>
      <c r="DA24" s="3">
        <v>15</v>
      </c>
      <c r="DB24" s="3">
        <v>6000</v>
      </c>
      <c r="DC24" s="3">
        <f t="shared" si="88"/>
        <v>90000</v>
      </c>
      <c r="DD24" s="3" t="s">
        <v>125</v>
      </c>
      <c r="DE24" s="3">
        <v>5</v>
      </c>
      <c r="DF24" s="3">
        <v>6000</v>
      </c>
      <c r="DG24" s="3">
        <f t="shared" si="89"/>
        <v>30000</v>
      </c>
      <c r="DH24" s="3" t="s">
        <v>125</v>
      </c>
      <c r="DI24" s="3">
        <v>100</v>
      </c>
      <c r="DJ24" s="3">
        <v>6000</v>
      </c>
      <c r="DK24" s="3">
        <f t="shared" si="90"/>
        <v>600000</v>
      </c>
      <c r="DL24" s="3" t="s">
        <v>125</v>
      </c>
      <c r="DM24" s="3"/>
      <c r="DN24" s="3">
        <v>6000</v>
      </c>
      <c r="DO24" s="3">
        <f t="shared" si="84"/>
        <v>0</v>
      </c>
      <c r="DP24" s="3" t="s">
        <v>125</v>
      </c>
      <c r="DQ24" s="3"/>
      <c r="DR24" s="3">
        <v>6000</v>
      </c>
      <c r="DS24" s="3">
        <f t="shared" si="91"/>
        <v>0</v>
      </c>
      <c r="DT24" s="6">
        <f t="shared" si="92"/>
        <v>1350000</v>
      </c>
      <c r="DU24" s="2" t="s">
        <v>157</v>
      </c>
      <c r="DV24" s="3">
        <f t="shared" si="46"/>
        <v>0.3</v>
      </c>
      <c r="DW24" s="3">
        <f t="shared" si="47"/>
        <v>100000</v>
      </c>
      <c r="DX24" s="3">
        <f t="shared" si="23"/>
        <v>30000</v>
      </c>
      <c r="DY24" s="3" t="s">
        <v>127</v>
      </c>
      <c r="DZ24" s="3">
        <f t="shared" si="48"/>
        <v>10</v>
      </c>
      <c r="EA24" s="2">
        <v>50000</v>
      </c>
      <c r="EB24" s="3">
        <f t="shared" si="24"/>
        <v>500000</v>
      </c>
      <c r="EC24" s="2" t="s">
        <v>127</v>
      </c>
      <c r="ED24" s="3">
        <f t="shared" si="49"/>
        <v>0</v>
      </c>
      <c r="EE24" s="3">
        <v>80000</v>
      </c>
      <c r="EF24" s="3">
        <f t="shared" si="25"/>
        <v>0</v>
      </c>
      <c r="EG24" s="2" t="s">
        <v>157</v>
      </c>
      <c r="EH24" s="3">
        <f t="shared" si="50"/>
        <v>300</v>
      </c>
      <c r="EI24" s="3">
        <v>6000</v>
      </c>
      <c r="EJ24" s="7">
        <f t="shared" si="26"/>
        <v>1800000</v>
      </c>
      <c r="EK24" s="2" t="s">
        <v>157</v>
      </c>
      <c r="EL24" s="13">
        <f t="shared" ref="EL24:EL36" si="94">AM24</f>
        <v>100</v>
      </c>
      <c r="EM24" s="3">
        <v>3000</v>
      </c>
      <c r="EN24" s="3">
        <f t="shared" si="27"/>
        <v>300000</v>
      </c>
      <c r="EO24" s="3" t="s">
        <v>126</v>
      </c>
      <c r="EP24" s="3">
        <f t="shared" si="52"/>
        <v>500</v>
      </c>
      <c r="EQ24" s="3">
        <v>1000</v>
      </c>
      <c r="ER24" s="7">
        <f t="shared" si="53"/>
        <v>500000</v>
      </c>
      <c r="ES24" s="3" t="s">
        <v>124</v>
      </c>
      <c r="ET24" s="2">
        <v>1</v>
      </c>
      <c r="EU24" s="3">
        <v>60000</v>
      </c>
      <c r="EV24" s="3">
        <f t="shared" si="28"/>
        <v>60000</v>
      </c>
      <c r="EW24" s="3" t="s">
        <v>124</v>
      </c>
      <c r="EX24" s="13">
        <v>5</v>
      </c>
      <c r="EY24" s="3">
        <v>60000</v>
      </c>
      <c r="EZ24" s="3">
        <f t="shared" si="29"/>
        <v>300000</v>
      </c>
      <c r="FA24" s="2" t="s">
        <v>170</v>
      </c>
      <c r="FB24" s="13"/>
      <c r="FC24" s="3">
        <v>1000</v>
      </c>
      <c r="FD24" s="3">
        <f t="shared" si="30"/>
        <v>0</v>
      </c>
      <c r="FE24" s="3" t="s">
        <v>126</v>
      </c>
      <c r="FF24" s="3">
        <f t="shared" si="54"/>
        <v>100</v>
      </c>
      <c r="FG24" s="3">
        <v>6000</v>
      </c>
      <c r="FH24" s="3">
        <f t="shared" si="31"/>
        <v>600000</v>
      </c>
      <c r="FI24" s="1">
        <f t="shared" si="32"/>
        <v>4090000</v>
      </c>
      <c r="FJ24" s="3" t="s">
        <v>139</v>
      </c>
      <c r="FK24" s="2">
        <v>50</v>
      </c>
      <c r="FL24" s="2">
        <v>6000</v>
      </c>
      <c r="FM24" s="3">
        <f t="shared" si="33"/>
        <v>300000</v>
      </c>
      <c r="FN24" s="3" t="s">
        <v>139</v>
      </c>
      <c r="FO24" s="13"/>
      <c r="FP24" s="3">
        <v>6000</v>
      </c>
      <c r="FQ24" s="3">
        <f t="shared" si="55"/>
        <v>0</v>
      </c>
      <c r="FR24" s="3" t="s">
        <v>139</v>
      </c>
      <c r="FS24" s="13"/>
      <c r="FT24" s="13">
        <v>6000</v>
      </c>
      <c r="FU24" s="3">
        <f t="shared" si="34"/>
        <v>0</v>
      </c>
      <c r="FV24" s="3" t="s">
        <v>139</v>
      </c>
      <c r="FW24" s="13"/>
      <c r="FX24" s="3">
        <v>8000</v>
      </c>
      <c r="FY24" s="3">
        <f t="shared" si="35"/>
        <v>0</v>
      </c>
      <c r="FZ24" s="3" t="s">
        <v>139</v>
      </c>
      <c r="GA24" s="3">
        <v>2</v>
      </c>
      <c r="GB24" s="3">
        <v>8000</v>
      </c>
      <c r="GC24" s="3">
        <f t="shared" si="36"/>
        <v>16000</v>
      </c>
      <c r="GD24" s="3" t="s">
        <v>139</v>
      </c>
      <c r="GE24" s="3">
        <v>10</v>
      </c>
      <c r="GF24" s="3">
        <v>10000</v>
      </c>
      <c r="GG24" s="3">
        <f t="shared" si="37"/>
        <v>100000</v>
      </c>
      <c r="GH24" s="3" t="s">
        <v>139</v>
      </c>
      <c r="GI24" s="13"/>
      <c r="GJ24" s="13"/>
      <c r="GK24" s="3">
        <f t="shared" si="38"/>
        <v>0</v>
      </c>
      <c r="GL24" s="92">
        <f t="shared" si="39"/>
        <v>416000</v>
      </c>
      <c r="GM24" s="8">
        <f t="shared" si="40"/>
        <v>6145000</v>
      </c>
      <c r="GN24" s="8">
        <f t="shared" si="41"/>
        <v>8000</v>
      </c>
      <c r="GO24" s="99">
        <v>6000</v>
      </c>
      <c r="GP24" s="8">
        <f t="shared" si="56"/>
        <v>48000000</v>
      </c>
      <c r="GQ24" s="8">
        <f t="shared" si="42"/>
        <v>72000000</v>
      </c>
      <c r="GR24" s="8">
        <f t="shared" si="43"/>
        <v>41855000</v>
      </c>
      <c r="GS24" s="8">
        <f t="shared" si="44"/>
        <v>65855000</v>
      </c>
      <c r="GT24" s="15" t="s">
        <v>1745</v>
      </c>
      <c r="GU24" s="48"/>
    </row>
    <row r="25" spans="1:203" ht="158.25" customHeight="1">
      <c r="A25" s="44">
        <v>26</v>
      </c>
      <c r="B25" s="23" t="s">
        <v>25</v>
      </c>
      <c r="C25" s="15" t="s">
        <v>242</v>
      </c>
      <c r="D25" s="13" t="s">
        <v>227</v>
      </c>
      <c r="E25" s="13" t="s">
        <v>411</v>
      </c>
      <c r="F25" s="15" t="s">
        <v>537</v>
      </c>
      <c r="G25" s="13" t="s">
        <v>26</v>
      </c>
      <c r="H25" s="13" t="s">
        <v>404</v>
      </c>
      <c r="I25" s="13" t="s">
        <v>412</v>
      </c>
      <c r="J25" s="13" t="s">
        <v>27</v>
      </c>
      <c r="K25" s="13" t="s">
        <v>413</v>
      </c>
      <c r="L25" s="13" t="s">
        <v>570</v>
      </c>
      <c r="M25" s="13" t="s">
        <v>24</v>
      </c>
      <c r="N25" s="15" t="s">
        <v>245</v>
      </c>
      <c r="O25" s="15" t="s">
        <v>243</v>
      </c>
      <c r="P25" s="15" t="s">
        <v>247</v>
      </c>
      <c r="Q25" s="15" t="s">
        <v>128</v>
      </c>
      <c r="R25" s="15">
        <v>3</v>
      </c>
      <c r="S25" s="15">
        <v>5</v>
      </c>
      <c r="T25" s="15">
        <v>60000</v>
      </c>
      <c r="U25" s="15">
        <v>60</v>
      </c>
      <c r="V25" s="15">
        <v>90</v>
      </c>
      <c r="W25" s="15" t="s">
        <v>244</v>
      </c>
      <c r="X25" s="15">
        <v>5</v>
      </c>
      <c r="Y25" s="15">
        <v>8</v>
      </c>
      <c r="Z25" s="15" t="s">
        <v>233</v>
      </c>
      <c r="AA25" s="15" t="s">
        <v>236</v>
      </c>
      <c r="AB25" s="15" t="s">
        <v>249</v>
      </c>
      <c r="AC25" s="3">
        <v>50000</v>
      </c>
      <c r="AD25" s="13"/>
      <c r="AE25" s="13">
        <v>10</v>
      </c>
      <c r="AF25" s="3">
        <v>80000</v>
      </c>
      <c r="AG25" s="3">
        <f t="shared" si="45"/>
        <v>800000</v>
      </c>
      <c r="AH25" s="3" t="s">
        <v>251</v>
      </c>
      <c r="AI25" s="13"/>
      <c r="AJ25" s="13">
        <v>1000</v>
      </c>
      <c r="AK25" s="13">
        <v>250</v>
      </c>
      <c r="AL25" s="13">
        <v>6000</v>
      </c>
      <c r="AM25" s="13">
        <v>50</v>
      </c>
      <c r="AN25" s="13">
        <v>3000</v>
      </c>
      <c r="AO25" s="13">
        <v>80</v>
      </c>
      <c r="AP25" s="13">
        <v>6000</v>
      </c>
      <c r="AQ25" s="2">
        <f t="shared" si="0"/>
        <v>2130000</v>
      </c>
      <c r="AR25" s="13" t="s">
        <v>238</v>
      </c>
      <c r="AS25" s="13" t="s">
        <v>239</v>
      </c>
      <c r="AT25" s="2" t="s">
        <v>139</v>
      </c>
      <c r="AU25" s="13"/>
      <c r="AV25" s="3">
        <v>6000</v>
      </c>
      <c r="AW25" s="2">
        <f t="shared" si="72"/>
        <v>0</v>
      </c>
      <c r="AX25" s="2" t="s">
        <v>139</v>
      </c>
      <c r="AY25" s="13"/>
      <c r="AZ25" s="3">
        <v>6000</v>
      </c>
      <c r="BA25" s="2">
        <f t="shared" si="2"/>
        <v>0</v>
      </c>
      <c r="BB25" s="2" t="s">
        <v>139</v>
      </c>
      <c r="BC25" s="13"/>
      <c r="BD25" s="3">
        <v>6000</v>
      </c>
      <c r="BE25" s="3">
        <f t="shared" si="3"/>
        <v>0</v>
      </c>
      <c r="BF25" s="3" t="s">
        <v>125</v>
      </c>
      <c r="BG25" s="13"/>
      <c r="BH25" s="3">
        <v>6000</v>
      </c>
      <c r="BI25" s="3">
        <f t="shared" si="85"/>
        <v>0</v>
      </c>
      <c r="BJ25" s="3" t="s">
        <v>126</v>
      </c>
      <c r="BK25" s="13"/>
      <c r="BL25" s="3">
        <v>1000</v>
      </c>
      <c r="BM25" s="3">
        <f t="shared" si="62"/>
        <v>0</v>
      </c>
      <c r="BN25" s="13" t="s">
        <v>20</v>
      </c>
      <c r="BO25" s="13"/>
      <c r="BP25" s="2">
        <v>3000</v>
      </c>
      <c r="BQ25" s="3">
        <f t="shared" si="93"/>
        <v>0</v>
      </c>
      <c r="BR25" s="2" t="s">
        <v>126</v>
      </c>
      <c r="BS25" s="13"/>
      <c r="BT25" s="2">
        <f>6000</f>
        <v>6000</v>
      </c>
      <c r="BU25" s="3">
        <f t="shared" si="7"/>
        <v>0</v>
      </c>
      <c r="BV25" s="2" t="s">
        <v>126</v>
      </c>
      <c r="BW25" s="13"/>
      <c r="BX25" s="2">
        <v>6000</v>
      </c>
      <c r="BY25" s="3">
        <f t="shared" si="73"/>
        <v>0</v>
      </c>
      <c r="BZ25" s="92">
        <f t="shared" si="9"/>
        <v>0</v>
      </c>
      <c r="CA25" s="2" t="s">
        <v>139</v>
      </c>
      <c r="CB25" s="3">
        <v>5</v>
      </c>
      <c r="CC25" s="3">
        <v>8000</v>
      </c>
      <c r="CD25" s="3">
        <f t="shared" si="10"/>
        <v>40000</v>
      </c>
      <c r="CE25" s="2" t="s">
        <v>139</v>
      </c>
      <c r="CF25" s="2">
        <v>30</v>
      </c>
      <c r="CG25" s="2">
        <v>6000</v>
      </c>
      <c r="CH25" s="3">
        <f t="shared" si="11"/>
        <v>180000</v>
      </c>
      <c r="CI25" s="3" t="s">
        <v>139</v>
      </c>
      <c r="CJ25" s="3">
        <v>1</v>
      </c>
      <c r="CK25" s="13"/>
      <c r="CL25" s="3">
        <f t="shared" si="12"/>
        <v>0</v>
      </c>
      <c r="CM25" s="5">
        <f t="shared" si="13"/>
        <v>220000</v>
      </c>
      <c r="CN25" s="2" t="s">
        <v>139</v>
      </c>
      <c r="CO25" s="13">
        <v>10</v>
      </c>
      <c r="CP25" s="2">
        <v>6000</v>
      </c>
      <c r="CQ25" s="2">
        <f t="shared" si="14"/>
        <v>60000</v>
      </c>
      <c r="CR25" s="2" t="s">
        <v>139</v>
      </c>
      <c r="CS25" s="13">
        <v>75</v>
      </c>
      <c r="CT25" s="2">
        <v>6000</v>
      </c>
      <c r="CU25" s="2">
        <f t="shared" si="83"/>
        <v>450000</v>
      </c>
      <c r="CV25" s="2" t="s">
        <v>139</v>
      </c>
      <c r="CW25" s="2">
        <v>15</v>
      </c>
      <c r="CX25" s="2">
        <v>6000</v>
      </c>
      <c r="CY25" s="2">
        <f t="shared" si="16"/>
        <v>90000</v>
      </c>
      <c r="CZ25" s="2" t="s">
        <v>139</v>
      </c>
      <c r="DA25" s="2">
        <v>40</v>
      </c>
      <c r="DB25" s="2">
        <v>6000</v>
      </c>
      <c r="DC25" s="2">
        <f t="shared" si="17"/>
        <v>240000</v>
      </c>
      <c r="DD25" s="2" t="s">
        <v>139</v>
      </c>
      <c r="DE25" s="2">
        <v>2</v>
      </c>
      <c r="DF25" s="2">
        <v>6000</v>
      </c>
      <c r="DG25" s="2">
        <f t="shared" si="18"/>
        <v>12000</v>
      </c>
      <c r="DH25" s="2" t="s">
        <v>139</v>
      </c>
      <c r="DI25" s="13">
        <v>200</v>
      </c>
      <c r="DJ25" s="2">
        <v>6000</v>
      </c>
      <c r="DK25" s="2">
        <f t="shared" si="19"/>
        <v>1200000</v>
      </c>
      <c r="DL25" s="3" t="s">
        <v>125</v>
      </c>
      <c r="DM25" s="13"/>
      <c r="DN25" s="3">
        <v>6000</v>
      </c>
      <c r="DO25" s="2">
        <f t="shared" si="84"/>
        <v>0</v>
      </c>
      <c r="DP25" s="2" t="s">
        <v>139</v>
      </c>
      <c r="DQ25" s="13"/>
      <c r="DR25" s="3">
        <v>6000</v>
      </c>
      <c r="DS25" s="2">
        <f t="shared" si="21"/>
        <v>0</v>
      </c>
      <c r="DT25" s="6">
        <f t="shared" si="22"/>
        <v>2052000</v>
      </c>
      <c r="DU25" s="2" t="s">
        <v>157</v>
      </c>
      <c r="DV25" s="3">
        <f t="shared" si="46"/>
        <v>3</v>
      </c>
      <c r="DW25" s="3">
        <f t="shared" si="47"/>
        <v>60000</v>
      </c>
      <c r="DX25" s="3">
        <f t="shared" si="23"/>
        <v>180000</v>
      </c>
      <c r="DY25" s="3" t="s">
        <v>127</v>
      </c>
      <c r="DZ25" s="3">
        <f t="shared" si="48"/>
        <v>0</v>
      </c>
      <c r="EA25" s="2">
        <v>50000</v>
      </c>
      <c r="EB25" s="3">
        <f t="shared" si="24"/>
        <v>0</v>
      </c>
      <c r="EC25" s="2" t="s">
        <v>127</v>
      </c>
      <c r="ED25" s="3">
        <f t="shared" si="49"/>
        <v>10</v>
      </c>
      <c r="EE25" s="3">
        <v>80000</v>
      </c>
      <c r="EF25" s="3">
        <f t="shared" si="25"/>
        <v>800000</v>
      </c>
      <c r="EG25" s="2" t="s">
        <v>157</v>
      </c>
      <c r="EH25" s="3">
        <f t="shared" si="50"/>
        <v>250</v>
      </c>
      <c r="EI25" s="3">
        <v>6000</v>
      </c>
      <c r="EJ25" s="7">
        <f t="shared" si="26"/>
        <v>1500000</v>
      </c>
      <c r="EK25" s="2" t="s">
        <v>157</v>
      </c>
      <c r="EL25" s="13">
        <f t="shared" si="94"/>
        <v>50</v>
      </c>
      <c r="EM25" s="3">
        <v>3000</v>
      </c>
      <c r="EN25" s="3">
        <f t="shared" si="27"/>
        <v>150000</v>
      </c>
      <c r="EO25" s="3" t="s">
        <v>126</v>
      </c>
      <c r="EP25" s="3">
        <f t="shared" si="52"/>
        <v>0</v>
      </c>
      <c r="EQ25" s="3">
        <v>1000</v>
      </c>
      <c r="ER25" s="7">
        <f t="shared" si="53"/>
        <v>0</v>
      </c>
      <c r="ES25" s="3" t="s">
        <v>124</v>
      </c>
      <c r="ET25" s="2">
        <v>1</v>
      </c>
      <c r="EU25" s="3">
        <v>60000</v>
      </c>
      <c r="EV25" s="3">
        <f t="shared" si="28"/>
        <v>60000</v>
      </c>
      <c r="EW25" s="3" t="s">
        <v>124</v>
      </c>
      <c r="EX25" s="13">
        <v>5</v>
      </c>
      <c r="EY25" s="3">
        <v>60000</v>
      </c>
      <c r="EZ25" s="3">
        <f t="shared" si="29"/>
        <v>300000</v>
      </c>
      <c r="FA25" s="2" t="s">
        <v>170</v>
      </c>
      <c r="FB25" s="13"/>
      <c r="FC25" s="3">
        <v>1000</v>
      </c>
      <c r="FD25" s="3">
        <f t="shared" si="30"/>
        <v>0</v>
      </c>
      <c r="FE25" s="3" t="s">
        <v>126</v>
      </c>
      <c r="FF25" s="3">
        <f t="shared" si="54"/>
        <v>80</v>
      </c>
      <c r="FG25" s="3">
        <v>6000</v>
      </c>
      <c r="FH25" s="3">
        <f t="shared" si="31"/>
        <v>480000</v>
      </c>
      <c r="FI25" s="1">
        <f t="shared" si="32"/>
        <v>3470000</v>
      </c>
      <c r="FJ25" s="3" t="s">
        <v>139</v>
      </c>
      <c r="FK25" s="2">
        <v>50</v>
      </c>
      <c r="FL25" s="2">
        <v>6000</v>
      </c>
      <c r="FM25" s="3">
        <f t="shared" si="33"/>
        <v>300000</v>
      </c>
      <c r="FN25" s="3" t="s">
        <v>139</v>
      </c>
      <c r="FO25" s="13"/>
      <c r="FP25" s="3">
        <v>6000</v>
      </c>
      <c r="FQ25" s="3">
        <f t="shared" si="55"/>
        <v>0</v>
      </c>
      <c r="FR25" s="3" t="s">
        <v>139</v>
      </c>
      <c r="FS25" s="13"/>
      <c r="FT25" s="13">
        <v>6000</v>
      </c>
      <c r="FU25" s="3">
        <f t="shared" si="34"/>
        <v>0</v>
      </c>
      <c r="FV25" s="3" t="s">
        <v>139</v>
      </c>
      <c r="FW25" s="13"/>
      <c r="FX25" s="3">
        <v>8000</v>
      </c>
      <c r="FY25" s="3">
        <f t="shared" si="35"/>
        <v>0</v>
      </c>
      <c r="FZ25" s="3" t="s">
        <v>139</v>
      </c>
      <c r="GA25" s="3">
        <v>2</v>
      </c>
      <c r="GB25" s="3">
        <v>8000</v>
      </c>
      <c r="GC25" s="3">
        <f t="shared" si="36"/>
        <v>16000</v>
      </c>
      <c r="GD25" s="3" t="s">
        <v>139</v>
      </c>
      <c r="GE25" s="3">
        <v>10</v>
      </c>
      <c r="GF25" s="3">
        <v>10000</v>
      </c>
      <c r="GG25" s="3">
        <f t="shared" si="37"/>
        <v>100000</v>
      </c>
      <c r="GH25" s="3" t="s">
        <v>139</v>
      </c>
      <c r="GI25" s="13"/>
      <c r="GJ25" s="13"/>
      <c r="GK25" s="3">
        <f t="shared" si="38"/>
        <v>0</v>
      </c>
      <c r="GL25" s="92">
        <f t="shared" si="39"/>
        <v>416000</v>
      </c>
      <c r="GM25" s="8">
        <f t="shared" si="40"/>
        <v>6158000</v>
      </c>
      <c r="GN25" s="8">
        <f t="shared" si="41"/>
        <v>5000</v>
      </c>
      <c r="GO25" s="98">
        <v>5000</v>
      </c>
      <c r="GP25" s="8">
        <f t="shared" si="56"/>
        <v>25000000</v>
      </c>
      <c r="GQ25" s="8">
        <f t="shared" si="42"/>
        <v>40000000</v>
      </c>
      <c r="GR25" s="8">
        <f t="shared" si="43"/>
        <v>18842000</v>
      </c>
      <c r="GS25" s="8">
        <f t="shared" si="44"/>
        <v>33842000</v>
      </c>
      <c r="GT25" s="15" t="s">
        <v>1746</v>
      </c>
      <c r="GU25" s="47" t="s">
        <v>1747</v>
      </c>
    </row>
    <row r="26" spans="1:203" ht="158.25" customHeight="1">
      <c r="A26" s="44">
        <v>27</v>
      </c>
      <c r="B26" s="23" t="s">
        <v>28</v>
      </c>
      <c r="C26" s="13" t="s">
        <v>29</v>
      </c>
      <c r="D26" s="13" t="s">
        <v>30</v>
      </c>
      <c r="E26" s="13" t="s">
        <v>31</v>
      </c>
      <c r="F26" s="15" t="s">
        <v>723</v>
      </c>
      <c r="G26" s="13" t="s">
        <v>32</v>
      </c>
      <c r="H26" s="13" t="s">
        <v>414</v>
      </c>
      <c r="I26" s="13" t="s">
        <v>33</v>
      </c>
      <c r="J26" s="13" t="s">
        <v>34</v>
      </c>
      <c r="K26" s="13" t="s">
        <v>415</v>
      </c>
      <c r="L26" s="13" t="s">
        <v>573</v>
      </c>
      <c r="M26" s="13" t="s">
        <v>24</v>
      </c>
      <c r="N26" s="15" t="s">
        <v>276</v>
      </c>
      <c r="O26" s="15" t="s">
        <v>277</v>
      </c>
      <c r="P26" s="15" t="s">
        <v>275</v>
      </c>
      <c r="Q26" s="15" t="s">
        <v>128</v>
      </c>
      <c r="R26" s="15">
        <v>7</v>
      </c>
      <c r="S26" s="15">
        <v>10</v>
      </c>
      <c r="T26" s="15">
        <v>60000</v>
      </c>
      <c r="U26" s="15">
        <v>30</v>
      </c>
      <c r="V26" s="15">
        <v>90</v>
      </c>
      <c r="W26" s="15" t="s">
        <v>248</v>
      </c>
      <c r="X26" s="15">
        <v>5</v>
      </c>
      <c r="Y26" s="15">
        <v>8</v>
      </c>
      <c r="Z26" s="15" t="s">
        <v>233</v>
      </c>
      <c r="AA26" s="15" t="s">
        <v>235</v>
      </c>
      <c r="AB26" s="15" t="s">
        <v>250</v>
      </c>
      <c r="AC26" s="3">
        <v>50000</v>
      </c>
      <c r="AD26" s="13">
        <v>10</v>
      </c>
      <c r="AE26" s="13"/>
      <c r="AF26" s="3">
        <v>80000</v>
      </c>
      <c r="AG26" s="3">
        <f t="shared" si="45"/>
        <v>500000</v>
      </c>
      <c r="AH26" s="3" t="s">
        <v>252</v>
      </c>
      <c r="AI26" s="13"/>
      <c r="AJ26" s="13">
        <v>1000</v>
      </c>
      <c r="AK26" s="13">
        <v>200</v>
      </c>
      <c r="AL26" s="13">
        <v>6000</v>
      </c>
      <c r="AM26" s="13">
        <v>40</v>
      </c>
      <c r="AN26" s="13">
        <v>3000</v>
      </c>
      <c r="AO26" s="13">
        <v>60</v>
      </c>
      <c r="AP26" s="13">
        <v>6000</v>
      </c>
      <c r="AQ26" s="2">
        <f t="shared" si="0"/>
        <v>1680000</v>
      </c>
      <c r="AR26" s="15" t="s">
        <v>240</v>
      </c>
      <c r="AS26" s="13" t="s">
        <v>241</v>
      </c>
      <c r="AT26" s="2" t="s">
        <v>139</v>
      </c>
      <c r="AU26" s="13"/>
      <c r="AV26" s="3">
        <v>6000</v>
      </c>
      <c r="AW26" s="2">
        <f t="shared" si="72"/>
        <v>0</v>
      </c>
      <c r="AX26" s="2" t="s">
        <v>139</v>
      </c>
      <c r="AY26" s="13"/>
      <c r="AZ26" s="3">
        <v>6000</v>
      </c>
      <c r="BA26" s="2">
        <f t="shared" si="2"/>
        <v>0</v>
      </c>
      <c r="BB26" s="2" t="s">
        <v>139</v>
      </c>
      <c r="BC26" s="13"/>
      <c r="BD26" s="3">
        <v>6000</v>
      </c>
      <c r="BE26" s="3">
        <f t="shared" si="3"/>
        <v>0</v>
      </c>
      <c r="BF26" s="3" t="s">
        <v>125</v>
      </c>
      <c r="BG26" s="13"/>
      <c r="BH26" s="3">
        <v>6000</v>
      </c>
      <c r="BI26" s="3">
        <f t="shared" si="85"/>
        <v>0</v>
      </c>
      <c r="BJ26" s="3" t="s">
        <v>126</v>
      </c>
      <c r="BK26" s="13"/>
      <c r="BL26" s="3">
        <v>1000</v>
      </c>
      <c r="BM26" s="3">
        <f t="shared" si="62"/>
        <v>0</v>
      </c>
      <c r="BN26" s="13" t="s">
        <v>20</v>
      </c>
      <c r="BO26" s="13"/>
      <c r="BP26" s="2">
        <v>3000</v>
      </c>
      <c r="BQ26" s="3">
        <f t="shared" si="93"/>
        <v>0</v>
      </c>
      <c r="BR26" s="2" t="s">
        <v>126</v>
      </c>
      <c r="BS26" s="13"/>
      <c r="BT26" s="2">
        <f>6000</f>
        <v>6000</v>
      </c>
      <c r="BU26" s="3">
        <f t="shared" si="7"/>
        <v>0</v>
      </c>
      <c r="BV26" s="2" t="s">
        <v>126</v>
      </c>
      <c r="BW26" s="13"/>
      <c r="BX26" s="2">
        <v>6000</v>
      </c>
      <c r="BY26" s="3">
        <f t="shared" si="73"/>
        <v>0</v>
      </c>
      <c r="BZ26" s="92">
        <f t="shared" si="9"/>
        <v>0</v>
      </c>
      <c r="CA26" s="2" t="s">
        <v>139</v>
      </c>
      <c r="CB26" s="3">
        <v>5</v>
      </c>
      <c r="CC26" s="3">
        <v>8000</v>
      </c>
      <c r="CD26" s="3">
        <f t="shared" si="10"/>
        <v>40000</v>
      </c>
      <c r="CE26" s="2" t="s">
        <v>139</v>
      </c>
      <c r="CF26" s="2">
        <v>30</v>
      </c>
      <c r="CG26" s="2">
        <v>6000</v>
      </c>
      <c r="CH26" s="3">
        <f t="shared" si="11"/>
        <v>180000</v>
      </c>
      <c r="CI26" s="3" t="s">
        <v>139</v>
      </c>
      <c r="CJ26" s="3">
        <v>1</v>
      </c>
      <c r="CK26" s="13"/>
      <c r="CL26" s="3">
        <f t="shared" si="12"/>
        <v>0</v>
      </c>
      <c r="CM26" s="5">
        <f t="shared" si="13"/>
        <v>220000</v>
      </c>
      <c r="CN26" s="2" t="s">
        <v>139</v>
      </c>
      <c r="CO26" s="13">
        <v>10</v>
      </c>
      <c r="CP26" s="2">
        <v>6000</v>
      </c>
      <c r="CQ26" s="2">
        <f t="shared" si="14"/>
        <v>60000</v>
      </c>
      <c r="CR26" s="2" t="s">
        <v>139</v>
      </c>
      <c r="CS26" s="13">
        <v>75</v>
      </c>
      <c r="CT26" s="2">
        <v>6000</v>
      </c>
      <c r="CU26" s="2">
        <f t="shared" si="83"/>
        <v>450000</v>
      </c>
      <c r="CV26" s="2" t="s">
        <v>139</v>
      </c>
      <c r="CW26" s="2">
        <v>15</v>
      </c>
      <c r="CX26" s="2">
        <v>6000</v>
      </c>
      <c r="CY26" s="2">
        <f t="shared" si="16"/>
        <v>90000</v>
      </c>
      <c r="CZ26" s="2" t="s">
        <v>139</v>
      </c>
      <c r="DA26" s="2">
        <v>40</v>
      </c>
      <c r="DB26" s="2">
        <v>6000</v>
      </c>
      <c r="DC26" s="2">
        <f t="shared" si="17"/>
        <v>240000</v>
      </c>
      <c r="DD26" s="2" t="s">
        <v>139</v>
      </c>
      <c r="DE26" s="2">
        <v>2</v>
      </c>
      <c r="DF26" s="2">
        <v>6000</v>
      </c>
      <c r="DG26" s="2">
        <f t="shared" si="18"/>
        <v>12000</v>
      </c>
      <c r="DH26" s="2" t="s">
        <v>139</v>
      </c>
      <c r="DI26" s="13">
        <v>200</v>
      </c>
      <c r="DJ26" s="2">
        <v>6000</v>
      </c>
      <c r="DK26" s="2">
        <f t="shared" si="19"/>
        <v>1200000</v>
      </c>
      <c r="DL26" s="3" t="s">
        <v>125</v>
      </c>
      <c r="DM26" s="13"/>
      <c r="DN26" s="3">
        <v>6000</v>
      </c>
      <c r="DO26" s="2">
        <f t="shared" si="84"/>
        <v>0</v>
      </c>
      <c r="DP26" s="2" t="s">
        <v>139</v>
      </c>
      <c r="DQ26" s="13"/>
      <c r="DR26" s="3">
        <v>6000</v>
      </c>
      <c r="DS26" s="2">
        <f t="shared" si="21"/>
        <v>0</v>
      </c>
      <c r="DT26" s="6">
        <f t="shared" si="22"/>
        <v>2052000</v>
      </c>
      <c r="DU26" s="2" t="s">
        <v>157</v>
      </c>
      <c r="DV26" s="3">
        <f t="shared" si="46"/>
        <v>7</v>
      </c>
      <c r="DW26" s="3">
        <f t="shared" si="47"/>
        <v>60000</v>
      </c>
      <c r="DX26" s="3">
        <f t="shared" si="23"/>
        <v>420000</v>
      </c>
      <c r="DY26" s="3" t="s">
        <v>127</v>
      </c>
      <c r="DZ26" s="3">
        <f t="shared" si="48"/>
        <v>10</v>
      </c>
      <c r="EA26" s="2">
        <v>50000</v>
      </c>
      <c r="EB26" s="3">
        <f t="shared" si="24"/>
        <v>500000</v>
      </c>
      <c r="EC26" s="2" t="s">
        <v>127</v>
      </c>
      <c r="ED26" s="3">
        <f t="shared" si="49"/>
        <v>0</v>
      </c>
      <c r="EE26" s="3">
        <v>80000</v>
      </c>
      <c r="EF26" s="3">
        <f t="shared" si="25"/>
        <v>0</v>
      </c>
      <c r="EG26" s="2" t="s">
        <v>157</v>
      </c>
      <c r="EH26" s="3">
        <f t="shared" si="50"/>
        <v>200</v>
      </c>
      <c r="EI26" s="3">
        <v>6000</v>
      </c>
      <c r="EJ26" s="7">
        <f t="shared" si="26"/>
        <v>1200000</v>
      </c>
      <c r="EK26" s="2" t="s">
        <v>157</v>
      </c>
      <c r="EL26" s="13">
        <f t="shared" si="94"/>
        <v>40</v>
      </c>
      <c r="EM26" s="3">
        <v>3000</v>
      </c>
      <c r="EN26" s="3">
        <f t="shared" si="27"/>
        <v>120000</v>
      </c>
      <c r="EO26" s="3" t="s">
        <v>126</v>
      </c>
      <c r="EP26" s="3">
        <f t="shared" si="52"/>
        <v>0</v>
      </c>
      <c r="EQ26" s="3">
        <v>1000</v>
      </c>
      <c r="ER26" s="7">
        <f t="shared" si="53"/>
        <v>0</v>
      </c>
      <c r="ES26" s="3" t="s">
        <v>124</v>
      </c>
      <c r="ET26" s="2">
        <v>1</v>
      </c>
      <c r="EU26" s="3">
        <v>60000</v>
      </c>
      <c r="EV26" s="3">
        <f t="shared" si="28"/>
        <v>60000</v>
      </c>
      <c r="EW26" s="3" t="s">
        <v>124</v>
      </c>
      <c r="EX26" s="13">
        <v>5</v>
      </c>
      <c r="EY26" s="3">
        <v>60000</v>
      </c>
      <c r="EZ26" s="3">
        <f t="shared" si="29"/>
        <v>300000</v>
      </c>
      <c r="FA26" s="2" t="s">
        <v>170</v>
      </c>
      <c r="FB26" s="13"/>
      <c r="FC26" s="3">
        <v>1000</v>
      </c>
      <c r="FD26" s="3">
        <f t="shared" si="30"/>
        <v>0</v>
      </c>
      <c r="FE26" s="3" t="s">
        <v>126</v>
      </c>
      <c r="FF26" s="3">
        <f t="shared" si="54"/>
        <v>60</v>
      </c>
      <c r="FG26" s="3">
        <v>6000</v>
      </c>
      <c r="FH26" s="3">
        <f t="shared" si="31"/>
        <v>360000</v>
      </c>
      <c r="FI26" s="1">
        <f t="shared" si="32"/>
        <v>2960000</v>
      </c>
      <c r="FJ26" s="3" t="s">
        <v>139</v>
      </c>
      <c r="FK26" s="2">
        <v>50</v>
      </c>
      <c r="FL26" s="2">
        <v>6000</v>
      </c>
      <c r="FM26" s="3">
        <f t="shared" si="33"/>
        <v>300000</v>
      </c>
      <c r="FN26" s="3" t="s">
        <v>139</v>
      </c>
      <c r="FO26" s="13"/>
      <c r="FP26" s="3">
        <v>6000</v>
      </c>
      <c r="FQ26" s="3">
        <f t="shared" si="55"/>
        <v>0</v>
      </c>
      <c r="FR26" s="3" t="s">
        <v>139</v>
      </c>
      <c r="FS26" s="13"/>
      <c r="FT26" s="13">
        <v>6000</v>
      </c>
      <c r="FU26" s="3">
        <f t="shared" si="34"/>
        <v>0</v>
      </c>
      <c r="FV26" s="3" t="s">
        <v>139</v>
      </c>
      <c r="FW26" s="13"/>
      <c r="FX26" s="3">
        <v>8000</v>
      </c>
      <c r="FY26" s="3">
        <f t="shared" si="35"/>
        <v>0</v>
      </c>
      <c r="FZ26" s="3" t="s">
        <v>139</v>
      </c>
      <c r="GA26" s="3">
        <v>2</v>
      </c>
      <c r="GB26" s="3">
        <v>8000</v>
      </c>
      <c r="GC26" s="3">
        <f t="shared" si="36"/>
        <v>16000</v>
      </c>
      <c r="GD26" s="3" t="s">
        <v>139</v>
      </c>
      <c r="GE26" s="3">
        <v>10</v>
      </c>
      <c r="GF26" s="3">
        <v>10000</v>
      </c>
      <c r="GG26" s="3">
        <f t="shared" si="37"/>
        <v>100000</v>
      </c>
      <c r="GH26" s="3" t="s">
        <v>139</v>
      </c>
      <c r="GI26" s="13"/>
      <c r="GJ26" s="13"/>
      <c r="GK26" s="3">
        <f t="shared" si="38"/>
        <v>0</v>
      </c>
      <c r="GL26" s="92">
        <f t="shared" si="39"/>
        <v>416000</v>
      </c>
      <c r="GM26" s="8">
        <f t="shared" si="40"/>
        <v>5648000</v>
      </c>
      <c r="GN26" s="8">
        <f t="shared" si="41"/>
        <v>5000</v>
      </c>
      <c r="GO26" s="98">
        <v>4000</v>
      </c>
      <c r="GP26" s="8">
        <f t="shared" si="56"/>
        <v>20000000</v>
      </c>
      <c r="GQ26" s="8">
        <f t="shared" si="42"/>
        <v>32000000</v>
      </c>
      <c r="GR26" s="8">
        <f t="shared" si="43"/>
        <v>14352000</v>
      </c>
      <c r="GS26" s="8">
        <f t="shared" si="44"/>
        <v>26352000</v>
      </c>
      <c r="GT26" s="15" t="s">
        <v>1748</v>
      </c>
      <c r="GU26" s="48"/>
    </row>
    <row r="27" spans="1:203" ht="158.25" customHeight="1">
      <c r="A27" s="44">
        <v>28</v>
      </c>
      <c r="B27" s="23" t="s">
        <v>51</v>
      </c>
      <c r="C27" s="13" t="s">
        <v>52</v>
      </c>
      <c r="D27" s="13" t="s">
        <v>107</v>
      </c>
      <c r="E27" s="13" t="s">
        <v>253</v>
      </c>
      <c r="F27" s="15" t="s">
        <v>724</v>
      </c>
      <c r="G27" s="13" t="s">
        <v>416</v>
      </c>
      <c r="H27" s="13" t="s">
        <v>45</v>
      </c>
      <c r="I27" s="15" t="s">
        <v>257</v>
      </c>
      <c r="J27" s="13" t="s">
        <v>53</v>
      </c>
      <c r="K27" s="15" t="s">
        <v>57</v>
      </c>
      <c r="L27" s="15" t="s">
        <v>574</v>
      </c>
      <c r="M27" s="13" t="s">
        <v>44</v>
      </c>
      <c r="N27" s="15" t="s">
        <v>269</v>
      </c>
      <c r="O27" s="15" t="s">
        <v>272</v>
      </c>
      <c r="P27" s="15" t="s">
        <v>273</v>
      </c>
      <c r="Q27" s="15" t="s">
        <v>128</v>
      </c>
      <c r="R27" s="15">
        <v>6</v>
      </c>
      <c r="S27" s="15">
        <v>10</v>
      </c>
      <c r="T27" s="15">
        <v>1500</v>
      </c>
      <c r="U27" s="15">
        <v>120</v>
      </c>
      <c r="V27" s="15">
        <v>130</v>
      </c>
      <c r="W27" s="15" t="s">
        <v>417</v>
      </c>
      <c r="X27" s="15">
        <v>4</v>
      </c>
      <c r="Y27" s="15">
        <v>5</v>
      </c>
      <c r="Z27" s="15" t="s">
        <v>266</v>
      </c>
      <c r="AA27" s="15" t="s">
        <v>267</v>
      </c>
      <c r="AB27" s="15" t="s">
        <v>274</v>
      </c>
      <c r="AC27" s="3">
        <v>50000</v>
      </c>
      <c r="AD27" s="13">
        <v>5</v>
      </c>
      <c r="AE27" s="13"/>
      <c r="AF27" s="3">
        <v>80000</v>
      </c>
      <c r="AG27" s="3">
        <f t="shared" si="45"/>
        <v>250000</v>
      </c>
      <c r="AH27" s="15" t="s">
        <v>278</v>
      </c>
      <c r="AI27" s="13"/>
      <c r="AJ27" s="13">
        <v>1000</v>
      </c>
      <c r="AK27" s="13">
        <v>100</v>
      </c>
      <c r="AL27" s="13">
        <v>6000</v>
      </c>
      <c r="AM27" s="13">
        <v>50</v>
      </c>
      <c r="AN27" s="13">
        <v>3000</v>
      </c>
      <c r="AO27" s="13"/>
      <c r="AP27" s="13">
        <v>6000</v>
      </c>
      <c r="AQ27" s="2">
        <f t="shared" si="0"/>
        <v>750000</v>
      </c>
      <c r="AR27" s="15" t="s">
        <v>418</v>
      </c>
      <c r="AS27" s="15" t="s">
        <v>419</v>
      </c>
      <c r="AT27" s="2" t="s">
        <v>139</v>
      </c>
      <c r="AU27" s="13">
        <v>7.5</v>
      </c>
      <c r="AV27" s="3">
        <v>6000</v>
      </c>
      <c r="AW27" s="2">
        <f t="shared" ref="AW27:AW33" si="95">AU27*AV27</f>
        <v>45000</v>
      </c>
      <c r="AX27" s="2" t="s">
        <v>139</v>
      </c>
      <c r="AY27" s="13">
        <v>5</v>
      </c>
      <c r="AZ27" s="3">
        <v>6000</v>
      </c>
      <c r="BA27" s="2">
        <f t="shared" ref="BA27:BA33" si="96">AY27*AZ27</f>
        <v>30000</v>
      </c>
      <c r="BB27" s="2" t="s">
        <v>139</v>
      </c>
      <c r="BC27" s="13">
        <v>2</v>
      </c>
      <c r="BD27" s="3">
        <v>6000</v>
      </c>
      <c r="BE27" s="3">
        <f t="shared" ref="BE27:BE33" si="97">BC27*BD27</f>
        <v>12000</v>
      </c>
      <c r="BF27" s="3" t="s">
        <v>125</v>
      </c>
      <c r="BG27" s="2">
        <v>2</v>
      </c>
      <c r="BH27" s="3">
        <v>6000</v>
      </c>
      <c r="BI27" s="3">
        <f t="shared" si="85"/>
        <v>12000</v>
      </c>
      <c r="BJ27" s="3" t="s">
        <v>126</v>
      </c>
      <c r="BK27" s="13"/>
      <c r="BL27" s="3">
        <v>1000</v>
      </c>
      <c r="BM27" s="3">
        <f t="shared" ref="BM27:BM33" si="98">BK27*BL27</f>
        <v>0</v>
      </c>
      <c r="BN27" s="13" t="s">
        <v>20</v>
      </c>
      <c r="BO27" s="13"/>
      <c r="BP27" s="2">
        <v>3000</v>
      </c>
      <c r="BQ27" s="3">
        <f t="shared" si="93"/>
        <v>0</v>
      </c>
      <c r="BR27" s="2" t="s">
        <v>126</v>
      </c>
      <c r="BS27" s="13"/>
      <c r="BT27" s="2">
        <f>6000</f>
        <v>6000</v>
      </c>
      <c r="BU27" s="3">
        <f t="shared" ref="BU27:BU33" si="99">BS27*BT27</f>
        <v>0</v>
      </c>
      <c r="BV27" s="2" t="s">
        <v>126</v>
      </c>
      <c r="BW27" s="13">
        <v>9</v>
      </c>
      <c r="BX27" s="2">
        <v>6000</v>
      </c>
      <c r="BY27" s="3">
        <f t="shared" ref="BY27:BY33" si="100">BW27*BX27</f>
        <v>54000</v>
      </c>
      <c r="BZ27" s="92">
        <f t="shared" ref="BZ27:BZ33" si="101">AW27+BE27+BM27+BQ27+BU27+BI27+BY27</f>
        <v>123000</v>
      </c>
      <c r="CA27" s="2" t="s">
        <v>139</v>
      </c>
      <c r="CB27" s="3">
        <v>5</v>
      </c>
      <c r="CC27" s="3">
        <v>8000</v>
      </c>
      <c r="CD27" s="3">
        <f t="shared" si="10"/>
        <v>40000</v>
      </c>
      <c r="CE27" s="2" t="s">
        <v>139</v>
      </c>
      <c r="CF27" s="2">
        <v>30</v>
      </c>
      <c r="CG27" s="2">
        <v>6000</v>
      </c>
      <c r="CH27" s="3">
        <f t="shared" si="11"/>
        <v>180000</v>
      </c>
      <c r="CI27" s="3" t="s">
        <v>139</v>
      </c>
      <c r="CJ27" s="3">
        <v>1</v>
      </c>
      <c r="CK27" s="13"/>
      <c r="CL27" s="3">
        <f t="shared" si="12"/>
        <v>0</v>
      </c>
      <c r="CM27" s="5">
        <f t="shared" si="13"/>
        <v>220000</v>
      </c>
      <c r="CN27" s="3" t="s">
        <v>125</v>
      </c>
      <c r="CO27" s="3">
        <v>0</v>
      </c>
      <c r="CP27" s="3">
        <v>6000</v>
      </c>
      <c r="CQ27" s="3">
        <f t="shared" ref="CQ27:CQ31" si="102">CO27*CP27</f>
        <v>0</v>
      </c>
      <c r="CR27" s="3" t="s">
        <v>125</v>
      </c>
      <c r="CS27" s="3">
        <v>75</v>
      </c>
      <c r="CT27" s="3">
        <v>6000</v>
      </c>
      <c r="CU27" s="3">
        <f t="shared" si="83"/>
        <v>450000</v>
      </c>
      <c r="CV27" s="3" t="s">
        <v>125</v>
      </c>
      <c r="CW27" s="3">
        <v>30</v>
      </c>
      <c r="CX27" s="3">
        <v>6000</v>
      </c>
      <c r="CY27" s="3">
        <f t="shared" ref="CY27:CY31" si="103">CW27*CX27</f>
        <v>180000</v>
      </c>
      <c r="CZ27" s="3" t="s">
        <v>125</v>
      </c>
      <c r="DA27" s="3">
        <v>15</v>
      </c>
      <c r="DB27" s="3">
        <v>6000</v>
      </c>
      <c r="DC27" s="3">
        <f t="shared" ref="DC27:DC31" si="104">DA27*DB27</f>
        <v>90000</v>
      </c>
      <c r="DD27" s="3" t="s">
        <v>125</v>
      </c>
      <c r="DE27" s="3">
        <v>5</v>
      </c>
      <c r="DF27" s="3">
        <v>6000</v>
      </c>
      <c r="DG27" s="3">
        <f t="shared" ref="DG27:DG31" si="105">DE27*DF27</f>
        <v>30000</v>
      </c>
      <c r="DH27" s="3" t="s">
        <v>125</v>
      </c>
      <c r="DI27" s="3">
        <v>100</v>
      </c>
      <c r="DJ27" s="3">
        <v>6000</v>
      </c>
      <c r="DK27" s="3">
        <f t="shared" ref="DK27:DK31" si="106">DI27*DJ27</f>
        <v>600000</v>
      </c>
      <c r="DL27" s="3" t="s">
        <v>125</v>
      </c>
      <c r="DM27" s="3"/>
      <c r="DN27" s="3">
        <v>6000</v>
      </c>
      <c r="DO27" s="3">
        <f t="shared" si="84"/>
        <v>0</v>
      </c>
      <c r="DP27" s="3" t="s">
        <v>125</v>
      </c>
      <c r="DQ27" s="3"/>
      <c r="DR27" s="3">
        <v>6000</v>
      </c>
      <c r="DS27" s="3">
        <f t="shared" ref="DS27:DS31" si="107">DQ27*DR27</f>
        <v>0</v>
      </c>
      <c r="DT27" s="6">
        <f t="shared" ref="DT27:DT31" si="108">CQ27+CU27+CY27+DC27+DG27+DK27+DO27+DS27</f>
        <v>1350000</v>
      </c>
      <c r="DU27" s="2" t="s">
        <v>157</v>
      </c>
      <c r="DV27" s="3">
        <f t="shared" si="46"/>
        <v>6</v>
      </c>
      <c r="DW27" s="3">
        <f t="shared" si="47"/>
        <v>1500</v>
      </c>
      <c r="DX27" s="3">
        <f t="shared" si="23"/>
        <v>9000</v>
      </c>
      <c r="DY27" s="3" t="s">
        <v>127</v>
      </c>
      <c r="DZ27" s="3">
        <f t="shared" si="48"/>
        <v>5</v>
      </c>
      <c r="EA27" s="2">
        <v>50000</v>
      </c>
      <c r="EB27" s="3">
        <f t="shared" si="24"/>
        <v>250000</v>
      </c>
      <c r="EC27" s="2" t="s">
        <v>127</v>
      </c>
      <c r="ED27" s="3">
        <f t="shared" si="49"/>
        <v>0</v>
      </c>
      <c r="EE27" s="3">
        <v>80000</v>
      </c>
      <c r="EF27" s="3">
        <f t="shared" si="25"/>
        <v>0</v>
      </c>
      <c r="EG27" s="2" t="s">
        <v>157</v>
      </c>
      <c r="EH27" s="3">
        <f t="shared" si="50"/>
        <v>100</v>
      </c>
      <c r="EI27" s="3">
        <v>6000</v>
      </c>
      <c r="EJ27" s="7">
        <f t="shared" si="26"/>
        <v>600000</v>
      </c>
      <c r="EK27" s="2" t="s">
        <v>157</v>
      </c>
      <c r="EL27" s="13">
        <f t="shared" si="94"/>
        <v>50</v>
      </c>
      <c r="EM27" s="3">
        <v>3000</v>
      </c>
      <c r="EN27" s="3">
        <f t="shared" si="27"/>
        <v>150000</v>
      </c>
      <c r="EO27" s="3" t="s">
        <v>126</v>
      </c>
      <c r="EP27" s="3">
        <f t="shared" si="52"/>
        <v>0</v>
      </c>
      <c r="EQ27" s="3">
        <v>1000</v>
      </c>
      <c r="ER27" s="7">
        <f t="shared" si="53"/>
        <v>0</v>
      </c>
      <c r="ES27" s="3" t="s">
        <v>124</v>
      </c>
      <c r="ET27" s="2">
        <v>1</v>
      </c>
      <c r="EU27" s="3">
        <v>60000</v>
      </c>
      <c r="EV27" s="3">
        <f t="shared" si="28"/>
        <v>60000</v>
      </c>
      <c r="EW27" s="3" t="s">
        <v>124</v>
      </c>
      <c r="EX27" s="13"/>
      <c r="EY27" s="3">
        <v>60000</v>
      </c>
      <c r="EZ27" s="3">
        <f t="shared" si="29"/>
        <v>0</v>
      </c>
      <c r="FA27" s="2" t="s">
        <v>170</v>
      </c>
      <c r="FB27" s="13">
        <v>40</v>
      </c>
      <c r="FC27" s="3">
        <v>1000</v>
      </c>
      <c r="FD27" s="3">
        <f t="shared" si="30"/>
        <v>40000</v>
      </c>
      <c r="FE27" s="3" t="s">
        <v>126</v>
      </c>
      <c r="FF27" s="3">
        <f t="shared" si="54"/>
        <v>0</v>
      </c>
      <c r="FG27" s="3">
        <v>6000</v>
      </c>
      <c r="FH27" s="3">
        <f t="shared" si="31"/>
        <v>0</v>
      </c>
      <c r="FI27" s="1">
        <f t="shared" si="32"/>
        <v>1109000</v>
      </c>
      <c r="FJ27" s="3" t="s">
        <v>139</v>
      </c>
      <c r="FK27" s="2">
        <v>40</v>
      </c>
      <c r="FL27" s="2">
        <v>6000</v>
      </c>
      <c r="FM27" s="3">
        <f t="shared" si="33"/>
        <v>240000</v>
      </c>
      <c r="FN27" s="3" t="s">
        <v>139</v>
      </c>
      <c r="FO27" s="13">
        <v>6</v>
      </c>
      <c r="FP27" s="3">
        <v>6000</v>
      </c>
      <c r="FQ27" s="3">
        <f t="shared" si="55"/>
        <v>36000</v>
      </c>
      <c r="FR27" s="3" t="s">
        <v>139</v>
      </c>
      <c r="FS27" s="13">
        <v>4</v>
      </c>
      <c r="FT27" s="13">
        <v>6000</v>
      </c>
      <c r="FU27" s="3">
        <f t="shared" si="34"/>
        <v>24000</v>
      </c>
      <c r="FV27" s="3" t="s">
        <v>139</v>
      </c>
      <c r="FW27" s="13">
        <v>4</v>
      </c>
      <c r="FX27" s="3">
        <v>8000</v>
      </c>
      <c r="FY27" s="3">
        <f t="shared" si="35"/>
        <v>32000</v>
      </c>
      <c r="FZ27" s="3" t="s">
        <v>139</v>
      </c>
      <c r="GA27" s="3">
        <v>2</v>
      </c>
      <c r="GB27" s="3">
        <v>8000</v>
      </c>
      <c r="GC27" s="3">
        <f t="shared" si="36"/>
        <v>16000</v>
      </c>
      <c r="GD27" s="3" t="s">
        <v>139</v>
      </c>
      <c r="GE27" s="3">
        <v>10</v>
      </c>
      <c r="GF27" s="3">
        <v>10000</v>
      </c>
      <c r="GG27" s="3">
        <f t="shared" si="37"/>
        <v>100000</v>
      </c>
      <c r="GH27" s="3" t="s">
        <v>139</v>
      </c>
      <c r="GI27" s="13"/>
      <c r="GJ27" s="13"/>
      <c r="GK27" s="3">
        <f t="shared" si="38"/>
        <v>0</v>
      </c>
      <c r="GL27" s="92">
        <f t="shared" si="39"/>
        <v>448000</v>
      </c>
      <c r="GM27" s="8">
        <f t="shared" si="40"/>
        <v>3250000</v>
      </c>
      <c r="GN27" s="8">
        <f t="shared" si="41"/>
        <v>4000</v>
      </c>
      <c r="GO27" s="98">
        <v>2000</v>
      </c>
      <c r="GP27" s="8">
        <f t="shared" si="56"/>
        <v>8000000</v>
      </c>
      <c r="GQ27" s="8">
        <f t="shared" si="42"/>
        <v>10000000</v>
      </c>
      <c r="GR27" s="8">
        <f t="shared" si="43"/>
        <v>4750000</v>
      </c>
      <c r="GS27" s="8">
        <f t="shared" si="44"/>
        <v>6750000</v>
      </c>
      <c r="GT27" s="15" t="s">
        <v>1749</v>
      </c>
      <c r="GU27" s="48"/>
    </row>
    <row r="28" spans="1:203" ht="158.25" customHeight="1">
      <c r="A28" s="44">
        <v>29</v>
      </c>
      <c r="B28" s="23" t="s">
        <v>51</v>
      </c>
      <c r="C28" s="13" t="s">
        <v>54</v>
      </c>
      <c r="D28" s="13" t="s">
        <v>55</v>
      </c>
      <c r="E28" s="13" t="s">
        <v>254</v>
      </c>
      <c r="F28" s="15" t="s">
        <v>725</v>
      </c>
      <c r="G28" s="13" t="s">
        <v>420</v>
      </c>
      <c r="H28" s="13" t="s">
        <v>45</v>
      </c>
      <c r="I28" s="15" t="s">
        <v>258</v>
      </c>
      <c r="J28" s="13" t="s">
        <v>56</v>
      </c>
      <c r="K28" s="15" t="s">
        <v>259</v>
      </c>
      <c r="L28" s="15" t="s">
        <v>575</v>
      </c>
      <c r="M28" s="13" t="s">
        <v>263</v>
      </c>
      <c r="N28" s="15" t="s">
        <v>270</v>
      </c>
      <c r="O28" s="15" t="s">
        <v>272</v>
      </c>
      <c r="P28" s="15" t="s">
        <v>273</v>
      </c>
      <c r="Q28" s="15" t="s">
        <v>128</v>
      </c>
      <c r="R28" s="15">
        <v>6</v>
      </c>
      <c r="S28" s="15">
        <v>10</v>
      </c>
      <c r="T28" s="15">
        <v>1300</v>
      </c>
      <c r="U28" s="15">
        <v>110</v>
      </c>
      <c r="V28" s="15">
        <v>120</v>
      </c>
      <c r="W28" s="15" t="s">
        <v>421</v>
      </c>
      <c r="X28" s="15">
        <v>4</v>
      </c>
      <c r="Y28" s="15">
        <v>6</v>
      </c>
      <c r="Z28" s="15" t="s">
        <v>266</v>
      </c>
      <c r="AA28" s="15" t="s">
        <v>267</v>
      </c>
      <c r="AB28" s="15" t="s">
        <v>274</v>
      </c>
      <c r="AC28" s="3">
        <v>50000</v>
      </c>
      <c r="AD28" s="13">
        <v>5</v>
      </c>
      <c r="AE28" s="13"/>
      <c r="AF28" s="3">
        <v>80000</v>
      </c>
      <c r="AG28" s="3">
        <f t="shared" si="45"/>
        <v>250000</v>
      </c>
      <c r="AH28" s="15" t="s">
        <v>278</v>
      </c>
      <c r="AI28" s="13"/>
      <c r="AJ28" s="13">
        <v>1000</v>
      </c>
      <c r="AK28" s="13">
        <v>100</v>
      </c>
      <c r="AL28" s="13">
        <v>6000</v>
      </c>
      <c r="AM28" s="13">
        <v>50</v>
      </c>
      <c r="AN28" s="13">
        <v>3000</v>
      </c>
      <c r="AO28" s="13"/>
      <c r="AP28" s="13">
        <v>6000</v>
      </c>
      <c r="AQ28" s="2">
        <f t="shared" si="0"/>
        <v>750000</v>
      </c>
      <c r="AR28" s="15" t="s">
        <v>422</v>
      </c>
      <c r="AS28" s="15" t="s">
        <v>419</v>
      </c>
      <c r="AT28" s="2" t="s">
        <v>139</v>
      </c>
      <c r="AU28" s="13">
        <v>7.5</v>
      </c>
      <c r="AV28" s="3">
        <v>6000</v>
      </c>
      <c r="AW28" s="2">
        <f t="shared" si="95"/>
        <v>45000</v>
      </c>
      <c r="AX28" s="2" t="s">
        <v>139</v>
      </c>
      <c r="AY28" s="13">
        <v>5</v>
      </c>
      <c r="AZ28" s="3">
        <v>6000</v>
      </c>
      <c r="BA28" s="2">
        <f t="shared" si="96"/>
        <v>30000</v>
      </c>
      <c r="BB28" s="2" t="s">
        <v>139</v>
      </c>
      <c r="BC28" s="13">
        <v>2</v>
      </c>
      <c r="BD28" s="3">
        <v>6000</v>
      </c>
      <c r="BE28" s="3">
        <f t="shared" si="97"/>
        <v>12000</v>
      </c>
      <c r="BF28" s="3" t="s">
        <v>125</v>
      </c>
      <c r="BG28" s="2">
        <v>2</v>
      </c>
      <c r="BH28" s="3">
        <v>6000</v>
      </c>
      <c r="BI28" s="3">
        <f t="shared" si="85"/>
        <v>12000</v>
      </c>
      <c r="BJ28" s="3" t="s">
        <v>126</v>
      </c>
      <c r="BK28" s="13"/>
      <c r="BL28" s="3">
        <v>1000</v>
      </c>
      <c r="BM28" s="3">
        <f t="shared" si="98"/>
        <v>0</v>
      </c>
      <c r="BN28" s="13" t="s">
        <v>20</v>
      </c>
      <c r="BO28" s="13"/>
      <c r="BP28" s="2">
        <v>3000</v>
      </c>
      <c r="BQ28" s="3">
        <f t="shared" si="93"/>
        <v>0</v>
      </c>
      <c r="BR28" s="2" t="s">
        <v>126</v>
      </c>
      <c r="BS28" s="13"/>
      <c r="BT28" s="2">
        <f>6000</f>
        <v>6000</v>
      </c>
      <c r="BU28" s="3">
        <f t="shared" si="99"/>
        <v>0</v>
      </c>
      <c r="BV28" s="2" t="s">
        <v>126</v>
      </c>
      <c r="BW28" s="13">
        <v>9</v>
      </c>
      <c r="BX28" s="2">
        <v>6000</v>
      </c>
      <c r="BY28" s="3">
        <f t="shared" si="100"/>
        <v>54000</v>
      </c>
      <c r="BZ28" s="92">
        <f t="shared" si="101"/>
        <v>123000</v>
      </c>
      <c r="CA28" s="2" t="s">
        <v>139</v>
      </c>
      <c r="CB28" s="3">
        <v>5</v>
      </c>
      <c r="CC28" s="3">
        <v>8000</v>
      </c>
      <c r="CD28" s="3">
        <f t="shared" si="10"/>
        <v>40000</v>
      </c>
      <c r="CE28" s="2" t="s">
        <v>139</v>
      </c>
      <c r="CF28" s="2">
        <v>30</v>
      </c>
      <c r="CG28" s="2">
        <v>6000</v>
      </c>
      <c r="CH28" s="3">
        <f t="shared" si="11"/>
        <v>180000</v>
      </c>
      <c r="CI28" s="3" t="s">
        <v>139</v>
      </c>
      <c r="CJ28" s="3">
        <v>1</v>
      </c>
      <c r="CK28" s="13"/>
      <c r="CL28" s="3">
        <f t="shared" si="12"/>
        <v>0</v>
      </c>
      <c r="CM28" s="5">
        <f t="shared" si="13"/>
        <v>220000</v>
      </c>
      <c r="CN28" s="3" t="s">
        <v>125</v>
      </c>
      <c r="CO28" s="3">
        <v>0</v>
      </c>
      <c r="CP28" s="3">
        <v>6000</v>
      </c>
      <c r="CQ28" s="3">
        <f t="shared" si="102"/>
        <v>0</v>
      </c>
      <c r="CR28" s="3" t="s">
        <v>125</v>
      </c>
      <c r="CS28" s="3">
        <v>75</v>
      </c>
      <c r="CT28" s="3">
        <v>6000</v>
      </c>
      <c r="CU28" s="3">
        <f t="shared" si="83"/>
        <v>450000</v>
      </c>
      <c r="CV28" s="3" t="s">
        <v>125</v>
      </c>
      <c r="CW28" s="3">
        <v>30</v>
      </c>
      <c r="CX28" s="3">
        <v>6000</v>
      </c>
      <c r="CY28" s="3">
        <f t="shared" si="103"/>
        <v>180000</v>
      </c>
      <c r="CZ28" s="3" t="s">
        <v>125</v>
      </c>
      <c r="DA28" s="3">
        <v>15</v>
      </c>
      <c r="DB28" s="3">
        <v>6000</v>
      </c>
      <c r="DC28" s="3">
        <f t="shared" si="104"/>
        <v>90000</v>
      </c>
      <c r="DD28" s="3" t="s">
        <v>125</v>
      </c>
      <c r="DE28" s="3">
        <v>5</v>
      </c>
      <c r="DF28" s="3">
        <v>6000</v>
      </c>
      <c r="DG28" s="3">
        <f t="shared" si="105"/>
        <v>30000</v>
      </c>
      <c r="DH28" s="3" t="s">
        <v>125</v>
      </c>
      <c r="DI28" s="3">
        <v>100</v>
      </c>
      <c r="DJ28" s="3">
        <v>6000</v>
      </c>
      <c r="DK28" s="3">
        <f t="shared" si="106"/>
        <v>600000</v>
      </c>
      <c r="DL28" s="3" t="s">
        <v>125</v>
      </c>
      <c r="DM28" s="3"/>
      <c r="DN28" s="3">
        <v>6000</v>
      </c>
      <c r="DO28" s="3">
        <f t="shared" si="84"/>
        <v>0</v>
      </c>
      <c r="DP28" s="3" t="s">
        <v>125</v>
      </c>
      <c r="DQ28" s="3"/>
      <c r="DR28" s="3">
        <v>6000</v>
      </c>
      <c r="DS28" s="3">
        <f t="shared" si="107"/>
        <v>0</v>
      </c>
      <c r="DT28" s="6">
        <f t="shared" si="108"/>
        <v>1350000</v>
      </c>
      <c r="DU28" s="2" t="s">
        <v>157</v>
      </c>
      <c r="DV28" s="3">
        <f t="shared" si="46"/>
        <v>6</v>
      </c>
      <c r="DW28" s="3">
        <f t="shared" si="47"/>
        <v>1300</v>
      </c>
      <c r="DX28" s="3">
        <f t="shared" si="23"/>
        <v>7800</v>
      </c>
      <c r="DY28" s="3" t="s">
        <v>127</v>
      </c>
      <c r="DZ28" s="3">
        <f t="shared" si="48"/>
        <v>5</v>
      </c>
      <c r="EA28" s="2">
        <v>50000</v>
      </c>
      <c r="EB28" s="3">
        <f t="shared" si="24"/>
        <v>250000</v>
      </c>
      <c r="EC28" s="2" t="s">
        <v>127</v>
      </c>
      <c r="ED28" s="3">
        <f t="shared" si="49"/>
        <v>0</v>
      </c>
      <c r="EE28" s="3">
        <v>80000</v>
      </c>
      <c r="EF28" s="3">
        <f t="shared" si="25"/>
        <v>0</v>
      </c>
      <c r="EG28" s="2" t="s">
        <v>157</v>
      </c>
      <c r="EH28" s="3">
        <f t="shared" si="50"/>
        <v>100</v>
      </c>
      <c r="EI28" s="3">
        <v>6000</v>
      </c>
      <c r="EJ28" s="7">
        <f t="shared" si="26"/>
        <v>600000</v>
      </c>
      <c r="EK28" s="2" t="s">
        <v>157</v>
      </c>
      <c r="EL28" s="13">
        <f t="shared" si="94"/>
        <v>50</v>
      </c>
      <c r="EM28" s="3">
        <v>3000</v>
      </c>
      <c r="EN28" s="3">
        <f t="shared" si="27"/>
        <v>150000</v>
      </c>
      <c r="EO28" s="3" t="s">
        <v>126</v>
      </c>
      <c r="EP28" s="3">
        <f t="shared" si="52"/>
        <v>0</v>
      </c>
      <c r="EQ28" s="3">
        <v>1000</v>
      </c>
      <c r="ER28" s="7">
        <f t="shared" si="53"/>
        <v>0</v>
      </c>
      <c r="ES28" s="3" t="s">
        <v>124</v>
      </c>
      <c r="ET28" s="2">
        <v>1</v>
      </c>
      <c r="EU28" s="3">
        <v>60000</v>
      </c>
      <c r="EV28" s="3">
        <f t="shared" si="28"/>
        <v>60000</v>
      </c>
      <c r="EW28" s="3" t="s">
        <v>124</v>
      </c>
      <c r="EX28" s="13"/>
      <c r="EY28" s="3">
        <v>60000</v>
      </c>
      <c r="EZ28" s="3">
        <f t="shared" si="29"/>
        <v>0</v>
      </c>
      <c r="FA28" s="2" t="s">
        <v>170</v>
      </c>
      <c r="FB28" s="13">
        <v>40</v>
      </c>
      <c r="FC28" s="3">
        <v>1000</v>
      </c>
      <c r="FD28" s="3">
        <f t="shared" si="30"/>
        <v>40000</v>
      </c>
      <c r="FE28" s="3" t="s">
        <v>126</v>
      </c>
      <c r="FF28" s="3">
        <f t="shared" si="54"/>
        <v>0</v>
      </c>
      <c r="FG28" s="3">
        <v>6000</v>
      </c>
      <c r="FH28" s="3">
        <f t="shared" si="31"/>
        <v>0</v>
      </c>
      <c r="FI28" s="1">
        <f t="shared" si="32"/>
        <v>1107800</v>
      </c>
      <c r="FJ28" s="3" t="s">
        <v>139</v>
      </c>
      <c r="FK28" s="2">
        <v>40</v>
      </c>
      <c r="FL28" s="2">
        <v>6000</v>
      </c>
      <c r="FM28" s="3">
        <f t="shared" si="33"/>
        <v>240000</v>
      </c>
      <c r="FN28" s="3" t="s">
        <v>139</v>
      </c>
      <c r="FO28" s="13">
        <v>6</v>
      </c>
      <c r="FP28" s="3">
        <v>6000</v>
      </c>
      <c r="FQ28" s="3">
        <f t="shared" si="55"/>
        <v>36000</v>
      </c>
      <c r="FR28" s="3" t="s">
        <v>139</v>
      </c>
      <c r="FS28" s="13">
        <v>4</v>
      </c>
      <c r="FT28" s="13">
        <v>6000</v>
      </c>
      <c r="FU28" s="3">
        <f t="shared" si="34"/>
        <v>24000</v>
      </c>
      <c r="FV28" s="3" t="s">
        <v>139</v>
      </c>
      <c r="FW28" s="13">
        <v>4</v>
      </c>
      <c r="FX28" s="3">
        <v>8000</v>
      </c>
      <c r="FY28" s="3">
        <f t="shared" si="35"/>
        <v>32000</v>
      </c>
      <c r="FZ28" s="3" t="s">
        <v>139</v>
      </c>
      <c r="GA28" s="3">
        <v>2</v>
      </c>
      <c r="GB28" s="3">
        <v>8000</v>
      </c>
      <c r="GC28" s="3">
        <f t="shared" si="36"/>
        <v>16000</v>
      </c>
      <c r="GD28" s="3" t="s">
        <v>139</v>
      </c>
      <c r="GE28" s="3">
        <v>10</v>
      </c>
      <c r="GF28" s="3">
        <v>10000</v>
      </c>
      <c r="GG28" s="3">
        <f t="shared" si="37"/>
        <v>100000</v>
      </c>
      <c r="GH28" s="3" t="s">
        <v>139</v>
      </c>
      <c r="GI28" s="13"/>
      <c r="GJ28" s="13"/>
      <c r="GK28" s="3">
        <f t="shared" si="38"/>
        <v>0</v>
      </c>
      <c r="GL28" s="92">
        <f t="shared" si="39"/>
        <v>448000</v>
      </c>
      <c r="GM28" s="8">
        <f t="shared" si="40"/>
        <v>3248800</v>
      </c>
      <c r="GN28" s="8">
        <f t="shared" si="41"/>
        <v>4000</v>
      </c>
      <c r="GO28" s="98">
        <v>2000</v>
      </c>
      <c r="GP28" s="8">
        <f t="shared" si="56"/>
        <v>8000000</v>
      </c>
      <c r="GQ28" s="8">
        <f t="shared" si="42"/>
        <v>12000000</v>
      </c>
      <c r="GR28" s="8">
        <f t="shared" si="43"/>
        <v>4751200</v>
      </c>
      <c r="GS28" s="8">
        <f t="shared" si="44"/>
        <v>8751200</v>
      </c>
      <c r="GT28" s="15" t="s">
        <v>1750</v>
      </c>
      <c r="GU28" s="48"/>
    </row>
    <row r="29" spans="1:203" ht="158.25" customHeight="1">
      <c r="A29" s="44">
        <v>30</v>
      </c>
      <c r="B29" s="23" t="s">
        <v>51</v>
      </c>
      <c r="C29" s="13" t="s">
        <v>54</v>
      </c>
      <c r="D29" s="15" t="s">
        <v>265</v>
      </c>
      <c r="E29" s="15" t="s">
        <v>255</v>
      </c>
      <c r="F29" s="15" t="s">
        <v>726</v>
      </c>
      <c r="G29" s="13" t="s">
        <v>423</v>
      </c>
      <c r="H29" s="13" t="s">
        <v>45</v>
      </c>
      <c r="I29" s="13" t="s">
        <v>424</v>
      </c>
      <c r="J29" s="13" t="s">
        <v>58</v>
      </c>
      <c r="K29" s="15" t="s">
        <v>262</v>
      </c>
      <c r="L29" s="15" t="s">
        <v>576</v>
      </c>
      <c r="M29" s="13" t="s">
        <v>264</v>
      </c>
      <c r="N29" s="13" t="s">
        <v>425</v>
      </c>
      <c r="O29" s="15" t="s">
        <v>272</v>
      </c>
      <c r="P29" s="15" t="s">
        <v>273</v>
      </c>
      <c r="Q29" s="15" t="s">
        <v>128</v>
      </c>
      <c r="R29" s="15">
        <v>6</v>
      </c>
      <c r="S29" s="15">
        <v>10</v>
      </c>
      <c r="T29" s="15">
        <v>1500</v>
      </c>
      <c r="U29" s="15">
        <v>180</v>
      </c>
      <c r="V29" s="15">
        <v>210</v>
      </c>
      <c r="W29" s="15" t="s">
        <v>426</v>
      </c>
      <c r="X29" s="15">
        <v>5</v>
      </c>
      <c r="Y29" s="15">
        <v>7</v>
      </c>
      <c r="Z29" s="15" t="s">
        <v>266</v>
      </c>
      <c r="AA29" s="15" t="s">
        <v>267</v>
      </c>
      <c r="AB29" s="15" t="s">
        <v>274</v>
      </c>
      <c r="AC29" s="3">
        <v>50000</v>
      </c>
      <c r="AD29" s="13">
        <v>5</v>
      </c>
      <c r="AE29" s="13"/>
      <c r="AF29" s="3">
        <v>80000</v>
      </c>
      <c r="AG29" s="3">
        <f t="shared" si="45"/>
        <v>250000</v>
      </c>
      <c r="AH29" s="15" t="s">
        <v>278</v>
      </c>
      <c r="AI29" s="13"/>
      <c r="AJ29" s="13">
        <v>1000</v>
      </c>
      <c r="AK29" s="13">
        <v>100</v>
      </c>
      <c r="AL29" s="13">
        <v>6000</v>
      </c>
      <c r="AM29" s="13">
        <v>50</v>
      </c>
      <c r="AN29" s="13">
        <v>3000</v>
      </c>
      <c r="AO29" s="13"/>
      <c r="AP29" s="13">
        <v>6000</v>
      </c>
      <c r="AQ29" s="2">
        <f t="shared" si="0"/>
        <v>750000</v>
      </c>
      <c r="AR29" s="15" t="s">
        <v>427</v>
      </c>
      <c r="AS29" s="15" t="s">
        <v>419</v>
      </c>
      <c r="AT29" s="2" t="s">
        <v>139</v>
      </c>
      <c r="AU29" s="13">
        <v>7.5</v>
      </c>
      <c r="AV29" s="3">
        <v>6000</v>
      </c>
      <c r="AW29" s="2">
        <f t="shared" si="95"/>
        <v>45000</v>
      </c>
      <c r="AX29" s="2" t="s">
        <v>139</v>
      </c>
      <c r="AY29" s="13">
        <v>5</v>
      </c>
      <c r="AZ29" s="3">
        <v>6000</v>
      </c>
      <c r="BA29" s="2">
        <f t="shared" si="96"/>
        <v>30000</v>
      </c>
      <c r="BB29" s="2" t="s">
        <v>139</v>
      </c>
      <c r="BC29" s="13">
        <v>2</v>
      </c>
      <c r="BD29" s="3">
        <v>6000</v>
      </c>
      <c r="BE29" s="3">
        <f t="shared" si="97"/>
        <v>12000</v>
      </c>
      <c r="BF29" s="3" t="s">
        <v>125</v>
      </c>
      <c r="BG29" s="2">
        <v>2</v>
      </c>
      <c r="BH29" s="3">
        <v>6000</v>
      </c>
      <c r="BI29" s="3">
        <f t="shared" si="85"/>
        <v>12000</v>
      </c>
      <c r="BJ29" s="3" t="s">
        <v>126</v>
      </c>
      <c r="BK29" s="13"/>
      <c r="BL29" s="3">
        <v>1000</v>
      </c>
      <c r="BM29" s="3">
        <f t="shared" si="98"/>
        <v>0</v>
      </c>
      <c r="BN29" s="13" t="s">
        <v>20</v>
      </c>
      <c r="BO29" s="13"/>
      <c r="BP29" s="2">
        <v>3000</v>
      </c>
      <c r="BQ29" s="3">
        <f t="shared" si="93"/>
        <v>0</v>
      </c>
      <c r="BR29" s="2" t="s">
        <v>126</v>
      </c>
      <c r="BS29" s="13"/>
      <c r="BT29" s="2">
        <f>6000</f>
        <v>6000</v>
      </c>
      <c r="BU29" s="3">
        <f t="shared" si="99"/>
        <v>0</v>
      </c>
      <c r="BV29" s="2" t="s">
        <v>126</v>
      </c>
      <c r="BW29" s="13">
        <v>9</v>
      </c>
      <c r="BX29" s="2">
        <v>6000</v>
      </c>
      <c r="BY29" s="3">
        <f t="shared" si="100"/>
        <v>54000</v>
      </c>
      <c r="BZ29" s="92">
        <f t="shared" si="101"/>
        <v>123000</v>
      </c>
      <c r="CA29" s="2" t="s">
        <v>139</v>
      </c>
      <c r="CB29" s="3">
        <v>5</v>
      </c>
      <c r="CC29" s="3">
        <v>8000</v>
      </c>
      <c r="CD29" s="3">
        <f t="shared" si="10"/>
        <v>40000</v>
      </c>
      <c r="CE29" s="2" t="s">
        <v>139</v>
      </c>
      <c r="CF29" s="2">
        <v>30</v>
      </c>
      <c r="CG29" s="2">
        <v>6000</v>
      </c>
      <c r="CH29" s="3">
        <f t="shared" si="11"/>
        <v>180000</v>
      </c>
      <c r="CI29" s="3" t="s">
        <v>139</v>
      </c>
      <c r="CJ29" s="3">
        <v>1</v>
      </c>
      <c r="CK29" s="13"/>
      <c r="CL29" s="3">
        <f t="shared" si="12"/>
        <v>0</v>
      </c>
      <c r="CM29" s="5">
        <f t="shared" si="13"/>
        <v>220000</v>
      </c>
      <c r="CN29" s="3" t="s">
        <v>125</v>
      </c>
      <c r="CO29" s="3">
        <v>0</v>
      </c>
      <c r="CP29" s="3">
        <v>6000</v>
      </c>
      <c r="CQ29" s="3">
        <f t="shared" si="102"/>
        <v>0</v>
      </c>
      <c r="CR29" s="3" t="s">
        <v>125</v>
      </c>
      <c r="CS29" s="3">
        <v>75</v>
      </c>
      <c r="CT29" s="3">
        <v>6000</v>
      </c>
      <c r="CU29" s="3">
        <f t="shared" si="83"/>
        <v>450000</v>
      </c>
      <c r="CV29" s="3" t="s">
        <v>125</v>
      </c>
      <c r="CW29" s="3">
        <v>30</v>
      </c>
      <c r="CX29" s="3">
        <v>6000</v>
      </c>
      <c r="CY29" s="3">
        <f t="shared" si="103"/>
        <v>180000</v>
      </c>
      <c r="CZ29" s="3" t="s">
        <v>125</v>
      </c>
      <c r="DA29" s="3">
        <v>15</v>
      </c>
      <c r="DB29" s="3">
        <v>6000</v>
      </c>
      <c r="DC29" s="3">
        <f t="shared" si="104"/>
        <v>90000</v>
      </c>
      <c r="DD29" s="3" t="s">
        <v>125</v>
      </c>
      <c r="DE29" s="3">
        <v>5</v>
      </c>
      <c r="DF29" s="3">
        <v>6000</v>
      </c>
      <c r="DG29" s="3">
        <f t="shared" si="105"/>
        <v>30000</v>
      </c>
      <c r="DH29" s="3" t="s">
        <v>125</v>
      </c>
      <c r="DI29" s="3">
        <v>100</v>
      </c>
      <c r="DJ29" s="3">
        <v>6000</v>
      </c>
      <c r="DK29" s="3">
        <f t="shared" si="106"/>
        <v>600000</v>
      </c>
      <c r="DL29" s="3" t="s">
        <v>125</v>
      </c>
      <c r="DM29" s="3"/>
      <c r="DN29" s="3">
        <v>6000</v>
      </c>
      <c r="DO29" s="3">
        <f t="shared" si="84"/>
        <v>0</v>
      </c>
      <c r="DP29" s="3" t="s">
        <v>125</v>
      </c>
      <c r="DQ29" s="3"/>
      <c r="DR29" s="3">
        <v>6000</v>
      </c>
      <c r="DS29" s="3">
        <f t="shared" si="107"/>
        <v>0</v>
      </c>
      <c r="DT29" s="6">
        <f t="shared" si="108"/>
        <v>1350000</v>
      </c>
      <c r="DU29" s="2" t="s">
        <v>157</v>
      </c>
      <c r="DV29" s="3">
        <f t="shared" si="46"/>
        <v>6</v>
      </c>
      <c r="DW29" s="3">
        <f t="shared" si="47"/>
        <v>1500</v>
      </c>
      <c r="DX29" s="3">
        <f t="shared" si="23"/>
        <v>9000</v>
      </c>
      <c r="DY29" s="3" t="s">
        <v>127</v>
      </c>
      <c r="DZ29" s="3">
        <f t="shared" si="48"/>
        <v>5</v>
      </c>
      <c r="EA29" s="2">
        <v>50000</v>
      </c>
      <c r="EB29" s="3">
        <f t="shared" si="24"/>
        <v>250000</v>
      </c>
      <c r="EC29" s="2" t="s">
        <v>127</v>
      </c>
      <c r="ED29" s="3">
        <f t="shared" si="49"/>
        <v>0</v>
      </c>
      <c r="EE29" s="3">
        <v>80000</v>
      </c>
      <c r="EF29" s="3">
        <f t="shared" si="25"/>
        <v>0</v>
      </c>
      <c r="EG29" s="2" t="s">
        <v>157</v>
      </c>
      <c r="EH29" s="3">
        <f t="shared" si="50"/>
        <v>100</v>
      </c>
      <c r="EI29" s="3">
        <v>6000</v>
      </c>
      <c r="EJ29" s="7">
        <f t="shared" si="26"/>
        <v>600000</v>
      </c>
      <c r="EK29" s="2" t="s">
        <v>157</v>
      </c>
      <c r="EL29" s="13">
        <f t="shared" si="94"/>
        <v>50</v>
      </c>
      <c r="EM29" s="3">
        <v>3000</v>
      </c>
      <c r="EN29" s="3">
        <f t="shared" si="27"/>
        <v>150000</v>
      </c>
      <c r="EO29" s="3" t="s">
        <v>126</v>
      </c>
      <c r="EP29" s="3">
        <f t="shared" si="52"/>
        <v>0</v>
      </c>
      <c r="EQ29" s="3">
        <v>1000</v>
      </c>
      <c r="ER29" s="7">
        <f t="shared" si="53"/>
        <v>0</v>
      </c>
      <c r="ES29" s="3" t="s">
        <v>124</v>
      </c>
      <c r="ET29" s="2">
        <v>1</v>
      </c>
      <c r="EU29" s="3">
        <v>60000</v>
      </c>
      <c r="EV29" s="3">
        <f t="shared" si="28"/>
        <v>60000</v>
      </c>
      <c r="EW29" s="3" t="s">
        <v>124</v>
      </c>
      <c r="EX29" s="13"/>
      <c r="EY29" s="3">
        <v>60000</v>
      </c>
      <c r="EZ29" s="3">
        <f t="shared" si="29"/>
        <v>0</v>
      </c>
      <c r="FA29" s="2" t="s">
        <v>170</v>
      </c>
      <c r="FB29" s="13">
        <v>40</v>
      </c>
      <c r="FC29" s="3">
        <v>1000</v>
      </c>
      <c r="FD29" s="3">
        <f t="shared" si="30"/>
        <v>40000</v>
      </c>
      <c r="FE29" s="3" t="s">
        <v>126</v>
      </c>
      <c r="FF29" s="3">
        <f t="shared" si="54"/>
        <v>0</v>
      </c>
      <c r="FG29" s="3">
        <v>6000</v>
      </c>
      <c r="FH29" s="3">
        <f t="shared" si="31"/>
        <v>0</v>
      </c>
      <c r="FI29" s="1">
        <f t="shared" si="32"/>
        <v>1109000</v>
      </c>
      <c r="FJ29" s="3" t="s">
        <v>139</v>
      </c>
      <c r="FK29" s="2">
        <v>40</v>
      </c>
      <c r="FL29" s="2">
        <v>6000</v>
      </c>
      <c r="FM29" s="3">
        <f t="shared" si="33"/>
        <v>240000</v>
      </c>
      <c r="FN29" s="3" t="s">
        <v>139</v>
      </c>
      <c r="FO29" s="13">
        <v>6</v>
      </c>
      <c r="FP29" s="3">
        <v>6000</v>
      </c>
      <c r="FQ29" s="3">
        <f t="shared" si="55"/>
        <v>36000</v>
      </c>
      <c r="FR29" s="3" t="s">
        <v>139</v>
      </c>
      <c r="FS29" s="13">
        <v>4</v>
      </c>
      <c r="FT29" s="13">
        <v>6000</v>
      </c>
      <c r="FU29" s="3">
        <f t="shared" si="34"/>
        <v>24000</v>
      </c>
      <c r="FV29" s="3" t="s">
        <v>139</v>
      </c>
      <c r="FW29" s="13">
        <v>4</v>
      </c>
      <c r="FX29" s="3">
        <v>8000</v>
      </c>
      <c r="FY29" s="3">
        <f t="shared" si="35"/>
        <v>32000</v>
      </c>
      <c r="FZ29" s="3" t="s">
        <v>139</v>
      </c>
      <c r="GA29" s="3">
        <v>2</v>
      </c>
      <c r="GB29" s="3">
        <v>8000</v>
      </c>
      <c r="GC29" s="3">
        <f t="shared" si="36"/>
        <v>16000</v>
      </c>
      <c r="GD29" s="3" t="s">
        <v>139</v>
      </c>
      <c r="GE29" s="3">
        <v>10</v>
      </c>
      <c r="GF29" s="3">
        <v>10000</v>
      </c>
      <c r="GG29" s="3">
        <f t="shared" si="37"/>
        <v>100000</v>
      </c>
      <c r="GH29" s="3" t="s">
        <v>139</v>
      </c>
      <c r="GI29" s="13"/>
      <c r="GJ29" s="13"/>
      <c r="GK29" s="3">
        <f t="shared" si="38"/>
        <v>0</v>
      </c>
      <c r="GL29" s="92">
        <f t="shared" si="39"/>
        <v>448000</v>
      </c>
      <c r="GM29" s="8">
        <f t="shared" si="40"/>
        <v>3250000</v>
      </c>
      <c r="GN29" s="8">
        <f t="shared" si="41"/>
        <v>5000</v>
      </c>
      <c r="GO29" s="98">
        <v>2000</v>
      </c>
      <c r="GP29" s="8">
        <f t="shared" si="56"/>
        <v>10000000</v>
      </c>
      <c r="GQ29" s="8">
        <f t="shared" si="42"/>
        <v>14000000</v>
      </c>
      <c r="GR29" s="8">
        <f t="shared" si="43"/>
        <v>6750000</v>
      </c>
      <c r="GS29" s="8">
        <f t="shared" si="44"/>
        <v>10750000</v>
      </c>
      <c r="GT29" s="15" t="s">
        <v>1751</v>
      </c>
      <c r="GU29" s="47" t="s">
        <v>1752</v>
      </c>
    </row>
    <row r="30" spans="1:203" ht="158.25" customHeight="1">
      <c r="A30" s="44">
        <v>31</v>
      </c>
      <c r="B30" s="23" t="s">
        <v>51</v>
      </c>
      <c r="C30" s="13" t="s">
        <v>99</v>
      </c>
      <c r="D30" s="15" t="s">
        <v>256</v>
      </c>
      <c r="E30" s="15" t="s">
        <v>727</v>
      </c>
      <c r="F30" s="15" t="s">
        <v>728</v>
      </c>
      <c r="G30" s="13" t="s">
        <v>428</v>
      </c>
      <c r="H30" s="13" t="s">
        <v>16</v>
      </c>
      <c r="I30" s="15" t="s">
        <v>260</v>
      </c>
      <c r="J30" s="15" t="s">
        <v>261</v>
      </c>
      <c r="K30" s="13" t="s">
        <v>100</v>
      </c>
      <c r="L30" s="15" t="s">
        <v>577</v>
      </c>
      <c r="M30" s="13" t="s">
        <v>44</v>
      </c>
      <c r="N30" s="15" t="s">
        <v>271</v>
      </c>
      <c r="O30" s="15" t="s">
        <v>272</v>
      </c>
      <c r="P30" s="15" t="s">
        <v>273</v>
      </c>
      <c r="Q30" s="15" t="s">
        <v>128</v>
      </c>
      <c r="R30" s="15">
        <v>6</v>
      </c>
      <c r="S30" s="15">
        <v>10</v>
      </c>
      <c r="T30" s="15">
        <v>1400</v>
      </c>
      <c r="U30" s="15">
        <v>130</v>
      </c>
      <c r="V30" s="19">
        <v>140</v>
      </c>
      <c r="W30" s="15" t="s">
        <v>429</v>
      </c>
      <c r="X30" s="19">
        <v>3</v>
      </c>
      <c r="Y30" s="15">
        <v>5</v>
      </c>
      <c r="Z30" s="15" t="s">
        <v>266</v>
      </c>
      <c r="AA30" s="15" t="s">
        <v>268</v>
      </c>
      <c r="AB30" s="15" t="s">
        <v>274</v>
      </c>
      <c r="AC30" s="3">
        <v>50000</v>
      </c>
      <c r="AD30" s="13">
        <v>5</v>
      </c>
      <c r="AE30" s="13"/>
      <c r="AF30" s="3">
        <v>80000</v>
      </c>
      <c r="AG30" s="3">
        <f t="shared" si="45"/>
        <v>250000</v>
      </c>
      <c r="AH30" s="15" t="s">
        <v>278</v>
      </c>
      <c r="AI30" s="13"/>
      <c r="AJ30" s="13">
        <v>1000</v>
      </c>
      <c r="AK30" s="13">
        <v>100</v>
      </c>
      <c r="AL30" s="13">
        <v>6000</v>
      </c>
      <c r="AM30" s="13">
        <v>50</v>
      </c>
      <c r="AN30" s="13">
        <v>3000</v>
      </c>
      <c r="AO30" s="13"/>
      <c r="AP30" s="13">
        <v>6000</v>
      </c>
      <c r="AQ30" s="2">
        <f t="shared" si="0"/>
        <v>750000</v>
      </c>
      <c r="AR30" s="15" t="s">
        <v>430</v>
      </c>
      <c r="AS30" s="15" t="s">
        <v>419</v>
      </c>
      <c r="AT30" s="2" t="s">
        <v>139</v>
      </c>
      <c r="AU30" s="13">
        <v>7.5</v>
      </c>
      <c r="AV30" s="3">
        <v>6000</v>
      </c>
      <c r="AW30" s="2">
        <f t="shared" si="95"/>
        <v>45000</v>
      </c>
      <c r="AX30" s="2" t="s">
        <v>139</v>
      </c>
      <c r="AY30" s="13">
        <v>5</v>
      </c>
      <c r="AZ30" s="3">
        <v>6000</v>
      </c>
      <c r="BA30" s="2">
        <f t="shared" si="96"/>
        <v>30000</v>
      </c>
      <c r="BB30" s="2" t="s">
        <v>139</v>
      </c>
      <c r="BC30" s="13">
        <v>2</v>
      </c>
      <c r="BD30" s="3">
        <v>6000</v>
      </c>
      <c r="BE30" s="3">
        <f t="shared" si="97"/>
        <v>12000</v>
      </c>
      <c r="BF30" s="3" t="s">
        <v>125</v>
      </c>
      <c r="BG30" s="2">
        <v>2</v>
      </c>
      <c r="BH30" s="3">
        <v>6000</v>
      </c>
      <c r="BI30" s="3">
        <f t="shared" si="85"/>
        <v>12000</v>
      </c>
      <c r="BJ30" s="3" t="s">
        <v>126</v>
      </c>
      <c r="BK30" s="13"/>
      <c r="BL30" s="3">
        <v>1000</v>
      </c>
      <c r="BM30" s="3">
        <f t="shared" si="98"/>
        <v>0</v>
      </c>
      <c r="BN30" s="13" t="s">
        <v>20</v>
      </c>
      <c r="BO30" s="13"/>
      <c r="BP30" s="2">
        <v>3000</v>
      </c>
      <c r="BQ30" s="3">
        <f t="shared" si="93"/>
        <v>0</v>
      </c>
      <c r="BR30" s="2" t="s">
        <v>126</v>
      </c>
      <c r="BS30" s="13"/>
      <c r="BT30" s="2">
        <f>6000</f>
        <v>6000</v>
      </c>
      <c r="BU30" s="3">
        <f t="shared" si="99"/>
        <v>0</v>
      </c>
      <c r="BV30" s="2" t="s">
        <v>126</v>
      </c>
      <c r="BW30" s="13">
        <v>9</v>
      </c>
      <c r="BX30" s="2">
        <v>6000</v>
      </c>
      <c r="BY30" s="3">
        <f t="shared" si="100"/>
        <v>54000</v>
      </c>
      <c r="BZ30" s="92">
        <f t="shared" si="101"/>
        <v>123000</v>
      </c>
      <c r="CA30" s="2" t="s">
        <v>139</v>
      </c>
      <c r="CB30" s="3">
        <v>5</v>
      </c>
      <c r="CC30" s="3">
        <v>8000</v>
      </c>
      <c r="CD30" s="3">
        <f t="shared" si="10"/>
        <v>40000</v>
      </c>
      <c r="CE30" s="2" t="s">
        <v>139</v>
      </c>
      <c r="CF30" s="2">
        <v>30</v>
      </c>
      <c r="CG30" s="2">
        <v>6000</v>
      </c>
      <c r="CH30" s="3">
        <f t="shared" si="11"/>
        <v>180000</v>
      </c>
      <c r="CI30" s="3" t="s">
        <v>139</v>
      </c>
      <c r="CJ30" s="3">
        <v>1</v>
      </c>
      <c r="CK30" s="13"/>
      <c r="CL30" s="3">
        <f t="shared" si="12"/>
        <v>0</v>
      </c>
      <c r="CM30" s="5">
        <f t="shared" si="13"/>
        <v>220000</v>
      </c>
      <c r="CN30" s="3" t="s">
        <v>125</v>
      </c>
      <c r="CO30" s="3">
        <v>0</v>
      </c>
      <c r="CP30" s="3">
        <v>6000</v>
      </c>
      <c r="CQ30" s="3">
        <f t="shared" si="102"/>
        <v>0</v>
      </c>
      <c r="CR30" s="3" t="s">
        <v>125</v>
      </c>
      <c r="CS30" s="3">
        <v>75</v>
      </c>
      <c r="CT30" s="3">
        <v>6000</v>
      </c>
      <c r="CU30" s="3">
        <f t="shared" si="83"/>
        <v>450000</v>
      </c>
      <c r="CV30" s="3" t="s">
        <v>125</v>
      </c>
      <c r="CW30" s="3">
        <v>30</v>
      </c>
      <c r="CX30" s="3">
        <v>6000</v>
      </c>
      <c r="CY30" s="3">
        <f t="shared" si="103"/>
        <v>180000</v>
      </c>
      <c r="CZ30" s="3" t="s">
        <v>125</v>
      </c>
      <c r="DA30" s="3">
        <v>15</v>
      </c>
      <c r="DB30" s="3">
        <v>6000</v>
      </c>
      <c r="DC30" s="3">
        <f t="shared" si="104"/>
        <v>90000</v>
      </c>
      <c r="DD30" s="3" t="s">
        <v>125</v>
      </c>
      <c r="DE30" s="3">
        <v>5</v>
      </c>
      <c r="DF30" s="3">
        <v>6000</v>
      </c>
      <c r="DG30" s="3">
        <f t="shared" si="105"/>
        <v>30000</v>
      </c>
      <c r="DH30" s="3" t="s">
        <v>125</v>
      </c>
      <c r="DI30" s="3">
        <v>100</v>
      </c>
      <c r="DJ30" s="3">
        <v>6000</v>
      </c>
      <c r="DK30" s="3">
        <f t="shared" si="106"/>
        <v>600000</v>
      </c>
      <c r="DL30" s="3" t="s">
        <v>125</v>
      </c>
      <c r="DM30" s="3"/>
      <c r="DN30" s="3">
        <v>6000</v>
      </c>
      <c r="DO30" s="3">
        <f t="shared" si="84"/>
        <v>0</v>
      </c>
      <c r="DP30" s="3" t="s">
        <v>125</v>
      </c>
      <c r="DQ30" s="3"/>
      <c r="DR30" s="3">
        <v>6000</v>
      </c>
      <c r="DS30" s="3">
        <f t="shared" si="107"/>
        <v>0</v>
      </c>
      <c r="DT30" s="6">
        <f t="shared" si="108"/>
        <v>1350000</v>
      </c>
      <c r="DU30" s="2" t="s">
        <v>157</v>
      </c>
      <c r="DV30" s="3">
        <f t="shared" si="46"/>
        <v>6</v>
      </c>
      <c r="DW30" s="3">
        <f t="shared" si="47"/>
        <v>1400</v>
      </c>
      <c r="DX30" s="3">
        <f t="shared" si="23"/>
        <v>8400</v>
      </c>
      <c r="DY30" s="3" t="s">
        <v>127</v>
      </c>
      <c r="DZ30" s="3">
        <f t="shared" si="48"/>
        <v>5</v>
      </c>
      <c r="EA30" s="2">
        <v>50000</v>
      </c>
      <c r="EB30" s="3">
        <f t="shared" si="24"/>
        <v>250000</v>
      </c>
      <c r="EC30" s="2" t="s">
        <v>127</v>
      </c>
      <c r="ED30" s="3">
        <f t="shared" si="49"/>
        <v>0</v>
      </c>
      <c r="EE30" s="3">
        <v>80000</v>
      </c>
      <c r="EF30" s="3">
        <f t="shared" si="25"/>
        <v>0</v>
      </c>
      <c r="EG30" s="2" t="s">
        <v>157</v>
      </c>
      <c r="EH30" s="3">
        <f t="shared" si="50"/>
        <v>100</v>
      </c>
      <c r="EI30" s="3">
        <v>6000</v>
      </c>
      <c r="EJ30" s="7">
        <f t="shared" si="26"/>
        <v>600000</v>
      </c>
      <c r="EK30" s="2" t="s">
        <v>157</v>
      </c>
      <c r="EL30" s="13">
        <f t="shared" si="94"/>
        <v>50</v>
      </c>
      <c r="EM30" s="3">
        <v>3000</v>
      </c>
      <c r="EN30" s="3">
        <f t="shared" si="27"/>
        <v>150000</v>
      </c>
      <c r="EO30" s="3" t="s">
        <v>126</v>
      </c>
      <c r="EP30" s="3">
        <f t="shared" si="52"/>
        <v>0</v>
      </c>
      <c r="EQ30" s="3">
        <v>1000</v>
      </c>
      <c r="ER30" s="7">
        <f t="shared" si="53"/>
        <v>0</v>
      </c>
      <c r="ES30" s="3" t="s">
        <v>124</v>
      </c>
      <c r="ET30" s="2">
        <v>1</v>
      </c>
      <c r="EU30" s="3">
        <v>60000</v>
      </c>
      <c r="EV30" s="3">
        <f t="shared" si="28"/>
        <v>60000</v>
      </c>
      <c r="EW30" s="3" t="s">
        <v>124</v>
      </c>
      <c r="EX30" s="13"/>
      <c r="EY30" s="3">
        <v>60000</v>
      </c>
      <c r="EZ30" s="3">
        <f t="shared" si="29"/>
        <v>0</v>
      </c>
      <c r="FA30" s="2" t="s">
        <v>170</v>
      </c>
      <c r="FB30" s="13">
        <v>40</v>
      </c>
      <c r="FC30" s="3">
        <v>1000</v>
      </c>
      <c r="FD30" s="3">
        <f t="shared" si="30"/>
        <v>40000</v>
      </c>
      <c r="FE30" s="3" t="s">
        <v>126</v>
      </c>
      <c r="FF30" s="3">
        <f t="shared" si="54"/>
        <v>0</v>
      </c>
      <c r="FG30" s="3">
        <v>6000</v>
      </c>
      <c r="FH30" s="3">
        <f t="shared" si="31"/>
        <v>0</v>
      </c>
      <c r="FI30" s="1">
        <f t="shared" si="32"/>
        <v>1108400</v>
      </c>
      <c r="FJ30" s="3" t="s">
        <v>139</v>
      </c>
      <c r="FK30" s="2">
        <v>40</v>
      </c>
      <c r="FL30" s="2">
        <v>6000</v>
      </c>
      <c r="FM30" s="3">
        <f t="shared" si="33"/>
        <v>240000</v>
      </c>
      <c r="FN30" s="3" t="s">
        <v>139</v>
      </c>
      <c r="FO30" s="13">
        <v>5</v>
      </c>
      <c r="FP30" s="3">
        <v>6000</v>
      </c>
      <c r="FQ30" s="3">
        <f t="shared" si="55"/>
        <v>30000</v>
      </c>
      <c r="FR30" s="3" t="s">
        <v>139</v>
      </c>
      <c r="FS30" s="13">
        <v>4</v>
      </c>
      <c r="FT30" s="13">
        <v>6000</v>
      </c>
      <c r="FU30" s="3">
        <f t="shared" si="34"/>
        <v>24000</v>
      </c>
      <c r="FV30" s="3" t="s">
        <v>139</v>
      </c>
      <c r="FW30" s="13">
        <v>4</v>
      </c>
      <c r="FX30" s="3">
        <v>8000</v>
      </c>
      <c r="FY30" s="3">
        <f t="shared" si="35"/>
        <v>32000</v>
      </c>
      <c r="FZ30" s="3" t="s">
        <v>139</v>
      </c>
      <c r="GA30" s="3">
        <v>2</v>
      </c>
      <c r="GB30" s="3">
        <v>8000</v>
      </c>
      <c r="GC30" s="3">
        <f t="shared" si="36"/>
        <v>16000</v>
      </c>
      <c r="GD30" s="3" t="s">
        <v>139</v>
      </c>
      <c r="GE30" s="3">
        <v>10</v>
      </c>
      <c r="GF30" s="3">
        <v>10000</v>
      </c>
      <c r="GG30" s="3">
        <f t="shared" si="37"/>
        <v>100000</v>
      </c>
      <c r="GH30" s="3" t="s">
        <v>139</v>
      </c>
      <c r="GI30" s="13"/>
      <c r="GJ30" s="13"/>
      <c r="GK30" s="3">
        <f t="shared" si="38"/>
        <v>0</v>
      </c>
      <c r="GL30" s="92">
        <f t="shared" si="39"/>
        <v>442000</v>
      </c>
      <c r="GM30" s="8">
        <f t="shared" si="40"/>
        <v>3243400</v>
      </c>
      <c r="GN30" s="8">
        <f t="shared" si="41"/>
        <v>3000</v>
      </c>
      <c r="GO30" s="98">
        <v>2000</v>
      </c>
      <c r="GP30" s="8">
        <f t="shared" si="56"/>
        <v>6000000</v>
      </c>
      <c r="GQ30" s="8">
        <f t="shared" si="42"/>
        <v>10000000</v>
      </c>
      <c r="GR30" s="8">
        <f t="shared" si="43"/>
        <v>2756600</v>
      </c>
      <c r="GS30" s="8">
        <f t="shared" si="44"/>
        <v>6756600</v>
      </c>
      <c r="GT30" s="15" t="s">
        <v>1753</v>
      </c>
      <c r="GU30" s="47" t="s">
        <v>1754</v>
      </c>
    </row>
    <row r="31" spans="1:203" ht="158.25" customHeight="1">
      <c r="A31" s="44">
        <v>32</v>
      </c>
      <c r="B31" s="22" t="s">
        <v>37</v>
      </c>
      <c r="C31" s="15" t="s">
        <v>289</v>
      </c>
      <c r="D31" s="14" t="s">
        <v>82</v>
      </c>
      <c r="E31" s="13" t="s">
        <v>83</v>
      </c>
      <c r="F31" s="15" t="s">
        <v>729</v>
      </c>
      <c r="G31" s="14" t="s">
        <v>431</v>
      </c>
      <c r="H31" s="13" t="s">
        <v>84</v>
      </c>
      <c r="I31" s="13" t="s">
        <v>36</v>
      </c>
      <c r="J31" s="14" t="s">
        <v>85</v>
      </c>
      <c r="K31" s="15" t="s">
        <v>290</v>
      </c>
      <c r="L31" s="13" t="s">
        <v>432</v>
      </c>
      <c r="M31" s="15" t="s">
        <v>291</v>
      </c>
      <c r="N31" s="15" t="s">
        <v>292</v>
      </c>
      <c r="O31" s="15" t="s">
        <v>293</v>
      </c>
      <c r="P31" s="13" t="s">
        <v>433</v>
      </c>
      <c r="Q31" s="15" t="s">
        <v>128</v>
      </c>
      <c r="R31" s="15">
        <v>0.5</v>
      </c>
      <c r="S31" s="7">
        <v>2.5</v>
      </c>
      <c r="T31" s="7">
        <v>35000</v>
      </c>
      <c r="U31" s="15">
        <v>60</v>
      </c>
      <c r="V31" s="7">
        <v>90</v>
      </c>
      <c r="W31" s="15" t="s">
        <v>294</v>
      </c>
      <c r="X31" s="7">
        <v>15</v>
      </c>
      <c r="Y31" s="15">
        <v>30</v>
      </c>
      <c r="Z31" s="7" t="s">
        <v>295</v>
      </c>
      <c r="AA31" s="15" t="s">
        <v>296</v>
      </c>
      <c r="AB31" s="15" t="s">
        <v>297</v>
      </c>
      <c r="AC31" s="3">
        <v>50000</v>
      </c>
      <c r="AD31" s="15">
        <v>20</v>
      </c>
      <c r="AE31" s="13"/>
      <c r="AF31" s="3">
        <v>80000</v>
      </c>
      <c r="AG31" s="3">
        <f t="shared" si="45"/>
        <v>1000000</v>
      </c>
      <c r="AH31" s="15" t="s">
        <v>298</v>
      </c>
      <c r="AI31" s="13"/>
      <c r="AJ31" s="13">
        <v>1000</v>
      </c>
      <c r="AK31" s="15">
        <v>100</v>
      </c>
      <c r="AL31" s="13">
        <v>6000</v>
      </c>
      <c r="AM31" s="13"/>
      <c r="AN31" s="13">
        <v>3000</v>
      </c>
      <c r="AO31" s="13"/>
      <c r="AP31" s="13">
        <v>6000</v>
      </c>
      <c r="AQ31" s="2">
        <f t="shared" si="0"/>
        <v>600000</v>
      </c>
      <c r="AR31" s="15" t="s">
        <v>299</v>
      </c>
      <c r="AS31" s="15" t="s">
        <v>300</v>
      </c>
      <c r="AT31" s="2" t="s">
        <v>139</v>
      </c>
      <c r="AU31" s="13">
        <v>7.5</v>
      </c>
      <c r="AV31" s="3">
        <v>6000</v>
      </c>
      <c r="AW31" s="2">
        <f t="shared" si="95"/>
        <v>45000</v>
      </c>
      <c r="AX31" s="2" t="s">
        <v>139</v>
      </c>
      <c r="AY31" s="13">
        <v>5</v>
      </c>
      <c r="AZ31" s="3">
        <v>6000</v>
      </c>
      <c r="BA31" s="2">
        <f t="shared" si="96"/>
        <v>30000</v>
      </c>
      <c r="BB31" s="2" t="s">
        <v>139</v>
      </c>
      <c r="BC31" s="13">
        <v>2</v>
      </c>
      <c r="BD31" s="3">
        <v>6000</v>
      </c>
      <c r="BE31" s="3">
        <f t="shared" si="97"/>
        <v>12000</v>
      </c>
      <c r="BF31" s="3" t="s">
        <v>125</v>
      </c>
      <c r="BG31" s="2">
        <v>2</v>
      </c>
      <c r="BH31" s="3">
        <v>6000</v>
      </c>
      <c r="BI31" s="3">
        <f t="shared" si="85"/>
        <v>12000</v>
      </c>
      <c r="BJ31" s="3" t="s">
        <v>126</v>
      </c>
      <c r="BK31" s="13"/>
      <c r="BL31" s="3">
        <v>1000</v>
      </c>
      <c r="BM31" s="3">
        <f t="shared" si="98"/>
        <v>0</v>
      </c>
      <c r="BN31" s="13" t="s">
        <v>20</v>
      </c>
      <c r="BO31" s="13"/>
      <c r="BP31" s="2">
        <v>3000</v>
      </c>
      <c r="BQ31" s="3">
        <f t="shared" si="93"/>
        <v>0</v>
      </c>
      <c r="BR31" s="2" t="s">
        <v>126</v>
      </c>
      <c r="BS31" s="13"/>
      <c r="BT31" s="2">
        <f>6000</f>
        <v>6000</v>
      </c>
      <c r="BU31" s="3">
        <f t="shared" si="99"/>
        <v>0</v>
      </c>
      <c r="BV31" s="2" t="s">
        <v>126</v>
      </c>
      <c r="BW31" s="13">
        <v>9</v>
      </c>
      <c r="BX31" s="2">
        <v>6000</v>
      </c>
      <c r="BY31" s="3">
        <f t="shared" si="100"/>
        <v>54000</v>
      </c>
      <c r="BZ31" s="92">
        <f t="shared" si="101"/>
        <v>123000</v>
      </c>
      <c r="CA31" s="2" t="s">
        <v>139</v>
      </c>
      <c r="CB31" s="3">
        <v>5</v>
      </c>
      <c r="CC31" s="3">
        <v>8000</v>
      </c>
      <c r="CD31" s="3">
        <f t="shared" si="10"/>
        <v>40000</v>
      </c>
      <c r="CE31" s="2" t="s">
        <v>139</v>
      </c>
      <c r="CF31" s="2">
        <v>30</v>
      </c>
      <c r="CG31" s="2">
        <v>6000</v>
      </c>
      <c r="CH31" s="3">
        <f t="shared" si="11"/>
        <v>180000</v>
      </c>
      <c r="CI31" s="3" t="s">
        <v>139</v>
      </c>
      <c r="CJ31" s="3">
        <v>1</v>
      </c>
      <c r="CK31" s="13"/>
      <c r="CL31" s="3">
        <f t="shared" si="12"/>
        <v>0</v>
      </c>
      <c r="CM31" s="5">
        <f t="shared" si="13"/>
        <v>220000</v>
      </c>
      <c r="CN31" s="3" t="s">
        <v>125</v>
      </c>
      <c r="CO31" s="3">
        <v>0</v>
      </c>
      <c r="CP31" s="3">
        <v>6000</v>
      </c>
      <c r="CQ31" s="3">
        <f t="shared" si="102"/>
        <v>0</v>
      </c>
      <c r="CR31" s="3" t="s">
        <v>125</v>
      </c>
      <c r="CS31" s="3">
        <v>75</v>
      </c>
      <c r="CT31" s="3">
        <v>6000</v>
      </c>
      <c r="CU31" s="3">
        <f t="shared" si="83"/>
        <v>450000</v>
      </c>
      <c r="CV31" s="3" t="s">
        <v>125</v>
      </c>
      <c r="CW31" s="3">
        <v>30</v>
      </c>
      <c r="CX31" s="3">
        <v>6000</v>
      </c>
      <c r="CY31" s="3">
        <f t="shared" si="103"/>
        <v>180000</v>
      </c>
      <c r="CZ31" s="3" t="s">
        <v>125</v>
      </c>
      <c r="DA31" s="3">
        <v>15</v>
      </c>
      <c r="DB31" s="3">
        <v>6000</v>
      </c>
      <c r="DC31" s="3">
        <f t="shared" si="104"/>
        <v>90000</v>
      </c>
      <c r="DD31" s="3" t="s">
        <v>125</v>
      </c>
      <c r="DE31" s="3">
        <v>5</v>
      </c>
      <c r="DF31" s="3">
        <v>6000</v>
      </c>
      <c r="DG31" s="3">
        <f t="shared" si="105"/>
        <v>30000</v>
      </c>
      <c r="DH31" s="3" t="s">
        <v>125</v>
      </c>
      <c r="DI31" s="3">
        <v>100</v>
      </c>
      <c r="DJ31" s="3">
        <v>6000</v>
      </c>
      <c r="DK31" s="3">
        <f t="shared" si="106"/>
        <v>600000</v>
      </c>
      <c r="DL31" s="3" t="s">
        <v>125</v>
      </c>
      <c r="DM31" s="3"/>
      <c r="DN31" s="3">
        <v>6000</v>
      </c>
      <c r="DO31" s="3">
        <f t="shared" si="84"/>
        <v>0</v>
      </c>
      <c r="DP31" s="3" t="s">
        <v>125</v>
      </c>
      <c r="DQ31" s="3"/>
      <c r="DR31" s="3">
        <v>6000</v>
      </c>
      <c r="DS31" s="3">
        <f t="shared" si="107"/>
        <v>0</v>
      </c>
      <c r="DT31" s="6">
        <f t="shared" si="108"/>
        <v>1350000</v>
      </c>
      <c r="DU31" s="2" t="s">
        <v>157</v>
      </c>
      <c r="DV31" s="3">
        <f t="shared" si="46"/>
        <v>0.5</v>
      </c>
      <c r="DW31" s="3">
        <f t="shared" si="47"/>
        <v>35000</v>
      </c>
      <c r="DX31" s="3">
        <f t="shared" si="23"/>
        <v>17500</v>
      </c>
      <c r="DY31" s="3" t="s">
        <v>127</v>
      </c>
      <c r="DZ31" s="3">
        <f t="shared" si="48"/>
        <v>20</v>
      </c>
      <c r="EA31" s="2">
        <v>50000</v>
      </c>
      <c r="EB31" s="3">
        <f t="shared" si="24"/>
        <v>1000000</v>
      </c>
      <c r="EC31" s="2" t="s">
        <v>127</v>
      </c>
      <c r="ED31" s="3">
        <f t="shared" si="49"/>
        <v>0</v>
      </c>
      <c r="EE31" s="3">
        <v>80000</v>
      </c>
      <c r="EF31" s="3">
        <f t="shared" si="25"/>
        <v>0</v>
      </c>
      <c r="EG31" s="2" t="s">
        <v>157</v>
      </c>
      <c r="EH31" s="3">
        <f t="shared" si="50"/>
        <v>100</v>
      </c>
      <c r="EI31" s="3">
        <v>6000</v>
      </c>
      <c r="EJ31" s="7">
        <f t="shared" si="26"/>
        <v>600000</v>
      </c>
      <c r="EK31" s="2" t="s">
        <v>157</v>
      </c>
      <c r="EL31" s="13">
        <f t="shared" si="94"/>
        <v>0</v>
      </c>
      <c r="EM31" s="3">
        <v>3000</v>
      </c>
      <c r="EN31" s="3">
        <f t="shared" si="27"/>
        <v>0</v>
      </c>
      <c r="EO31" s="3" t="s">
        <v>126</v>
      </c>
      <c r="EP31" s="3">
        <f t="shared" si="52"/>
        <v>0</v>
      </c>
      <c r="EQ31" s="3">
        <v>1000</v>
      </c>
      <c r="ER31" s="7">
        <f t="shared" si="53"/>
        <v>0</v>
      </c>
      <c r="ES31" s="3" t="s">
        <v>124</v>
      </c>
      <c r="ET31" s="2">
        <v>1</v>
      </c>
      <c r="EU31" s="3">
        <v>60000</v>
      </c>
      <c r="EV31" s="3">
        <f t="shared" si="28"/>
        <v>60000</v>
      </c>
      <c r="EW31" s="3" t="s">
        <v>124</v>
      </c>
      <c r="EX31" s="13"/>
      <c r="EY31" s="3">
        <v>60000</v>
      </c>
      <c r="EZ31" s="3">
        <f t="shared" si="29"/>
        <v>0</v>
      </c>
      <c r="FA31" s="2" t="s">
        <v>170</v>
      </c>
      <c r="FB31" s="13"/>
      <c r="FC31" s="3">
        <v>1000</v>
      </c>
      <c r="FD31" s="3">
        <f t="shared" si="30"/>
        <v>0</v>
      </c>
      <c r="FE31" s="3" t="s">
        <v>126</v>
      </c>
      <c r="FF31" s="3">
        <f t="shared" si="54"/>
        <v>0</v>
      </c>
      <c r="FG31" s="3">
        <v>6000</v>
      </c>
      <c r="FH31" s="3">
        <f t="shared" si="31"/>
        <v>0</v>
      </c>
      <c r="FI31" s="1">
        <f t="shared" si="32"/>
        <v>1677500</v>
      </c>
      <c r="FJ31" s="3" t="s">
        <v>139</v>
      </c>
      <c r="FK31" s="2">
        <v>40</v>
      </c>
      <c r="FL31" s="2">
        <v>6000</v>
      </c>
      <c r="FM31" s="3">
        <f t="shared" si="33"/>
        <v>240000</v>
      </c>
      <c r="FN31" s="3" t="s">
        <v>139</v>
      </c>
      <c r="FO31" s="13"/>
      <c r="FP31" s="3">
        <v>6000</v>
      </c>
      <c r="FQ31" s="3">
        <f t="shared" si="55"/>
        <v>0</v>
      </c>
      <c r="FR31" s="3" t="s">
        <v>139</v>
      </c>
      <c r="FS31" s="13"/>
      <c r="FT31" s="13">
        <v>6000</v>
      </c>
      <c r="FU31" s="3">
        <f t="shared" si="34"/>
        <v>0</v>
      </c>
      <c r="FV31" s="3" t="s">
        <v>139</v>
      </c>
      <c r="FW31" s="13"/>
      <c r="FX31" s="3">
        <v>8000</v>
      </c>
      <c r="FY31" s="3">
        <f t="shared" si="35"/>
        <v>0</v>
      </c>
      <c r="FZ31" s="3" t="s">
        <v>139</v>
      </c>
      <c r="GA31" s="3">
        <v>2</v>
      </c>
      <c r="GB31" s="3">
        <v>8000</v>
      </c>
      <c r="GC31" s="3">
        <f t="shared" si="36"/>
        <v>16000</v>
      </c>
      <c r="GD31" s="3" t="s">
        <v>139</v>
      </c>
      <c r="GE31" s="3">
        <v>10</v>
      </c>
      <c r="GF31" s="3">
        <v>10000</v>
      </c>
      <c r="GG31" s="3">
        <f t="shared" si="37"/>
        <v>100000</v>
      </c>
      <c r="GH31" s="3" t="s">
        <v>139</v>
      </c>
      <c r="GI31" s="13"/>
      <c r="GJ31" s="13"/>
      <c r="GK31" s="3">
        <f t="shared" si="38"/>
        <v>0</v>
      </c>
      <c r="GL31" s="92">
        <f t="shared" si="39"/>
        <v>356000</v>
      </c>
      <c r="GM31" s="8">
        <f t="shared" si="40"/>
        <v>3726500</v>
      </c>
      <c r="GN31" s="8">
        <f t="shared" si="41"/>
        <v>15000</v>
      </c>
      <c r="GO31" s="100">
        <v>2500</v>
      </c>
      <c r="GP31" s="8">
        <f t="shared" si="56"/>
        <v>37500000</v>
      </c>
      <c r="GQ31" s="8">
        <f t="shared" si="42"/>
        <v>75000000</v>
      </c>
      <c r="GR31" s="8">
        <f t="shared" si="43"/>
        <v>33773500</v>
      </c>
      <c r="GS31" s="8">
        <f t="shared" si="44"/>
        <v>71273500</v>
      </c>
      <c r="GT31" s="15" t="s">
        <v>1780</v>
      </c>
      <c r="GU31" s="48"/>
    </row>
    <row r="32" spans="1:203" ht="158.25" customHeight="1">
      <c r="A32" s="44">
        <v>33</v>
      </c>
      <c r="B32" s="22" t="s">
        <v>86</v>
      </c>
      <c r="C32" s="14" t="s">
        <v>434</v>
      </c>
      <c r="D32" s="13" t="s">
        <v>1755</v>
      </c>
      <c r="E32" s="13" t="s">
        <v>435</v>
      </c>
      <c r="F32" s="15" t="s">
        <v>730</v>
      </c>
      <c r="G32" s="14" t="s">
        <v>1863</v>
      </c>
      <c r="H32" s="13" t="s">
        <v>84</v>
      </c>
      <c r="I32" s="13" t="s">
        <v>36</v>
      </c>
      <c r="J32" s="15" t="s">
        <v>301</v>
      </c>
      <c r="K32" s="15" t="s">
        <v>302</v>
      </c>
      <c r="L32" s="13" t="s">
        <v>436</v>
      </c>
      <c r="M32" s="15" t="s">
        <v>303</v>
      </c>
      <c r="N32" s="15" t="s">
        <v>304</v>
      </c>
      <c r="O32" s="15" t="s">
        <v>305</v>
      </c>
      <c r="P32" s="13" t="s">
        <v>437</v>
      </c>
      <c r="Q32" s="15" t="s">
        <v>128</v>
      </c>
      <c r="R32" s="15">
        <v>4</v>
      </c>
      <c r="S32" s="15">
        <v>6</v>
      </c>
      <c r="T32" s="7">
        <v>50000</v>
      </c>
      <c r="U32" s="15">
        <v>50</v>
      </c>
      <c r="V32" s="7">
        <v>70</v>
      </c>
      <c r="W32" s="15" t="s">
        <v>306</v>
      </c>
      <c r="X32" s="7">
        <v>8</v>
      </c>
      <c r="Y32" s="15">
        <v>15</v>
      </c>
      <c r="Z32" s="15" t="s">
        <v>307</v>
      </c>
      <c r="AA32" s="15" t="s">
        <v>308</v>
      </c>
      <c r="AB32" s="15" t="s">
        <v>309</v>
      </c>
      <c r="AC32" s="3">
        <v>50000</v>
      </c>
      <c r="AD32" s="13">
        <v>15</v>
      </c>
      <c r="AE32" s="13">
        <v>20</v>
      </c>
      <c r="AF32" s="3">
        <v>80000</v>
      </c>
      <c r="AG32" s="3">
        <f t="shared" si="45"/>
        <v>2350000</v>
      </c>
      <c r="AH32" s="15" t="s">
        <v>625</v>
      </c>
      <c r="AI32" s="13"/>
      <c r="AJ32" s="13">
        <v>1000</v>
      </c>
      <c r="AK32" s="13"/>
      <c r="AL32" s="13">
        <v>6000</v>
      </c>
      <c r="AM32" s="13">
        <v>175</v>
      </c>
      <c r="AN32" s="13">
        <v>3000</v>
      </c>
      <c r="AO32" s="13"/>
      <c r="AP32" s="13">
        <v>6000</v>
      </c>
      <c r="AQ32" s="2">
        <f t="shared" si="0"/>
        <v>525000</v>
      </c>
      <c r="AR32" s="15" t="s">
        <v>310</v>
      </c>
      <c r="AS32" s="15" t="s">
        <v>311</v>
      </c>
      <c r="AT32" s="2" t="s">
        <v>139</v>
      </c>
      <c r="AU32" s="13">
        <v>7.5</v>
      </c>
      <c r="AV32" s="3">
        <v>6000</v>
      </c>
      <c r="AW32" s="2">
        <f t="shared" si="95"/>
        <v>45000</v>
      </c>
      <c r="AX32" s="2" t="s">
        <v>139</v>
      </c>
      <c r="AY32" s="13">
        <v>5</v>
      </c>
      <c r="AZ32" s="3">
        <v>6000</v>
      </c>
      <c r="BA32" s="2">
        <f t="shared" si="96"/>
        <v>30000</v>
      </c>
      <c r="BB32" s="2" t="s">
        <v>139</v>
      </c>
      <c r="BC32" s="13">
        <v>2</v>
      </c>
      <c r="BD32" s="3">
        <v>6000</v>
      </c>
      <c r="BE32" s="3">
        <f t="shared" si="97"/>
        <v>12000</v>
      </c>
      <c r="BF32" s="3" t="s">
        <v>125</v>
      </c>
      <c r="BG32" s="2">
        <v>2</v>
      </c>
      <c r="BH32" s="3">
        <v>6000</v>
      </c>
      <c r="BI32" s="3">
        <f t="shared" si="85"/>
        <v>12000</v>
      </c>
      <c r="BJ32" s="3" t="s">
        <v>126</v>
      </c>
      <c r="BK32" s="13"/>
      <c r="BL32" s="3">
        <v>1000</v>
      </c>
      <c r="BM32" s="3">
        <f t="shared" si="98"/>
        <v>0</v>
      </c>
      <c r="BN32" s="13" t="s">
        <v>20</v>
      </c>
      <c r="BO32" s="13"/>
      <c r="BP32" s="2">
        <v>3000</v>
      </c>
      <c r="BQ32" s="3">
        <f t="shared" si="93"/>
        <v>0</v>
      </c>
      <c r="BR32" s="2" t="s">
        <v>126</v>
      </c>
      <c r="BS32" s="13"/>
      <c r="BT32" s="2">
        <f>6000</f>
        <v>6000</v>
      </c>
      <c r="BU32" s="3">
        <f t="shared" si="99"/>
        <v>0</v>
      </c>
      <c r="BV32" s="2" t="s">
        <v>126</v>
      </c>
      <c r="BW32" s="13">
        <v>9</v>
      </c>
      <c r="BX32" s="2">
        <v>6000</v>
      </c>
      <c r="BY32" s="3">
        <f t="shared" si="100"/>
        <v>54000</v>
      </c>
      <c r="BZ32" s="92">
        <f t="shared" si="101"/>
        <v>123000</v>
      </c>
      <c r="CA32" s="2" t="s">
        <v>139</v>
      </c>
      <c r="CB32" s="3">
        <v>5</v>
      </c>
      <c r="CC32" s="3">
        <v>8000</v>
      </c>
      <c r="CD32" s="3">
        <f t="shared" si="10"/>
        <v>40000</v>
      </c>
      <c r="CE32" s="2" t="s">
        <v>139</v>
      </c>
      <c r="CF32" s="2">
        <v>30</v>
      </c>
      <c r="CG32" s="2">
        <v>6000</v>
      </c>
      <c r="CH32" s="3">
        <f t="shared" si="11"/>
        <v>180000</v>
      </c>
      <c r="CI32" s="3" t="s">
        <v>139</v>
      </c>
      <c r="CJ32" s="3">
        <v>1</v>
      </c>
      <c r="CK32" s="13"/>
      <c r="CL32" s="3">
        <f t="shared" si="12"/>
        <v>0</v>
      </c>
      <c r="CM32" s="5">
        <f t="shared" si="13"/>
        <v>220000</v>
      </c>
      <c r="CN32" s="2" t="s">
        <v>139</v>
      </c>
      <c r="CO32" s="13"/>
      <c r="CP32" s="2">
        <v>6000</v>
      </c>
      <c r="CQ32" s="2">
        <f t="shared" si="14"/>
        <v>0</v>
      </c>
      <c r="CR32" s="2" t="s">
        <v>139</v>
      </c>
      <c r="CS32" s="13"/>
      <c r="CT32" s="2">
        <v>6000</v>
      </c>
      <c r="CU32" s="2">
        <f t="shared" si="83"/>
        <v>0</v>
      </c>
      <c r="CV32" s="2" t="s">
        <v>139</v>
      </c>
      <c r="CW32" s="2">
        <v>15</v>
      </c>
      <c r="CX32" s="2">
        <v>6000</v>
      </c>
      <c r="CY32" s="2">
        <f t="shared" si="16"/>
        <v>90000</v>
      </c>
      <c r="CZ32" s="2" t="s">
        <v>139</v>
      </c>
      <c r="DA32" s="13"/>
      <c r="DB32" s="2">
        <v>6000</v>
      </c>
      <c r="DC32" s="2">
        <f t="shared" si="17"/>
        <v>0</v>
      </c>
      <c r="DD32" s="2" t="s">
        <v>139</v>
      </c>
      <c r="DE32" s="2">
        <v>2</v>
      </c>
      <c r="DF32" s="2">
        <v>6000</v>
      </c>
      <c r="DG32" s="2">
        <f t="shared" si="18"/>
        <v>12000</v>
      </c>
      <c r="DH32" s="2" t="s">
        <v>139</v>
      </c>
      <c r="DI32" s="13">
        <v>200</v>
      </c>
      <c r="DJ32" s="2">
        <v>6000</v>
      </c>
      <c r="DK32" s="2">
        <f t="shared" si="19"/>
        <v>1200000</v>
      </c>
      <c r="DL32" s="3" t="s">
        <v>125</v>
      </c>
      <c r="DM32" s="13"/>
      <c r="DN32" s="3">
        <v>6000</v>
      </c>
      <c r="DO32" s="2">
        <f t="shared" si="84"/>
        <v>0</v>
      </c>
      <c r="DP32" s="2" t="s">
        <v>139</v>
      </c>
      <c r="DQ32" s="13"/>
      <c r="DR32" s="3">
        <v>6000</v>
      </c>
      <c r="DS32" s="2">
        <f t="shared" si="21"/>
        <v>0</v>
      </c>
      <c r="DT32" s="6">
        <f t="shared" si="22"/>
        <v>1302000</v>
      </c>
      <c r="DU32" s="2" t="s">
        <v>157</v>
      </c>
      <c r="DV32" s="3">
        <f t="shared" si="46"/>
        <v>4</v>
      </c>
      <c r="DW32" s="3">
        <f t="shared" si="47"/>
        <v>50000</v>
      </c>
      <c r="DX32" s="3">
        <f t="shared" si="23"/>
        <v>200000</v>
      </c>
      <c r="DY32" s="3" t="s">
        <v>127</v>
      </c>
      <c r="DZ32" s="3">
        <f t="shared" si="48"/>
        <v>15</v>
      </c>
      <c r="EA32" s="2">
        <v>50000</v>
      </c>
      <c r="EB32" s="3">
        <f t="shared" si="24"/>
        <v>750000</v>
      </c>
      <c r="EC32" s="2" t="s">
        <v>127</v>
      </c>
      <c r="ED32" s="3">
        <f t="shared" si="49"/>
        <v>20</v>
      </c>
      <c r="EE32" s="3">
        <v>80000</v>
      </c>
      <c r="EF32" s="3">
        <f t="shared" si="25"/>
        <v>1600000</v>
      </c>
      <c r="EG32" s="2" t="s">
        <v>157</v>
      </c>
      <c r="EH32" s="3">
        <f t="shared" si="50"/>
        <v>0</v>
      </c>
      <c r="EI32" s="3">
        <v>6000</v>
      </c>
      <c r="EJ32" s="7">
        <f t="shared" si="26"/>
        <v>0</v>
      </c>
      <c r="EK32" s="2" t="s">
        <v>157</v>
      </c>
      <c r="EL32" s="13">
        <f t="shared" si="94"/>
        <v>175</v>
      </c>
      <c r="EM32" s="3">
        <v>3000</v>
      </c>
      <c r="EN32" s="3">
        <f t="shared" si="27"/>
        <v>525000</v>
      </c>
      <c r="EO32" s="3" t="s">
        <v>126</v>
      </c>
      <c r="EP32" s="3">
        <f t="shared" si="52"/>
        <v>0</v>
      </c>
      <c r="EQ32" s="3">
        <v>1000</v>
      </c>
      <c r="ER32" s="7">
        <f t="shared" si="53"/>
        <v>0</v>
      </c>
      <c r="ES32" s="3" t="s">
        <v>124</v>
      </c>
      <c r="ET32" s="2">
        <v>1</v>
      </c>
      <c r="EU32" s="3">
        <v>60000</v>
      </c>
      <c r="EV32" s="3">
        <f t="shared" si="28"/>
        <v>60000</v>
      </c>
      <c r="EW32" s="3" t="s">
        <v>124</v>
      </c>
      <c r="EX32" s="13"/>
      <c r="EY32" s="3">
        <v>60000</v>
      </c>
      <c r="EZ32" s="3">
        <f t="shared" si="29"/>
        <v>0</v>
      </c>
      <c r="FA32" s="2" t="s">
        <v>170</v>
      </c>
      <c r="FB32" s="13"/>
      <c r="FC32" s="3">
        <v>1000</v>
      </c>
      <c r="FD32" s="3">
        <f t="shared" si="30"/>
        <v>0</v>
      </c>
      <c r="FE32" s="3" t="s">
        <v>126</v>
      </c>
      <c r="FF32" s="3">
        <f t="shared" si="54"/>
        <v>0</v>
      </c>
      <c r="FG32" s="3">
        <v>6000</v>
      </c>
      <c r="FH32" s="3">
        <f t="shared" si="31"/>
        <v>0</v>
      </c>
      <c r="FI32" s="1">
        <f t="shared" si="32"/>
        <v>3135000</v>
      </c>
      <c r="FJ32" s="3" t="s">
        <v>139</v>
      </c>
      <c r="FK32" s="2">
        <v>40</v>
      </c>
      <c r="FL32" s="2">
        <v>6000</v>
      </c>
      <c r="FM32" s="3">
        <f t="shared" si="33"/>
        <v>240000</v>
      </c>
      <c r="FN32" s="3" t="s">
        <v>139</v>
      </c>
      <c r="FO32" s="13"/>
      <c r="FP32" s="3">
        <v>6000</v>
      </c>
      <c r="FQ32" s="3">
        <f t="shared" si="55"/>
        <v>0</v>
      </c>
      <c r="FR32" s="3" t="s">
        <v>139</v>
      </c>
      <c r="FS32" s="13"/>
      <c r="FT32" s="13">
        <v>6000</v>
      </c>
      <c r="FU32" s="3">
        <f t="shared" si="34"/>
        <v>0</v>
      </c>
      <c r="FV32" s="3" t="s">
        <v>139</v>
      </c>
      <c r="FW32" s="13"/>
      <c r="FX32" s="3">
        <v>8000</v>
      </c>
      <c r="FY32" s="3">
        <f t="shared" si="35"/>
        <v>0</v>
      </c>
      <c r="FZ32" s="3" t="s">
        <v>139</v>
      </c>
      <c r="GA32" s="3">
        <v>2</v>
      </c>
      <c r="GB32" s="3">
        <v>8000</v>
      </c>
      <c r="GC32" s="3">
        <f t="shared" si="36"/>
        <v>16000</v>
      </c>
      <c r="GD32" s="3" t="s">
        <v>139</v>
      </c>
      <c r="GE32" s="3">
        <v>10</v>
      </c>
      <c r="GF32" s="3">
        <v>10000</v>
      </c>
      <c r="GG32" s="3">
        <f t="shared" si="37"/>
        <v>100000</v>
      </c>
      <c r="GH32" s="3" t="s">
        <v>139</v>
      </c>
      <c r="GI32" s="13"/>
      <c r="GJ32" s="13"/>
      <c r="GK32" s="3">
        <f t="shared" si="38"/>
        <v>0</v>
      </c>
      <c r="GL32" s="92">
        <f t="shared" si="39"/>
        <v>356000</v>
      </c>
      <c r="GM32" s="8">
        <f t="shared" si="40"/>
        <v>5136000</v>
      </c>
      <c r="GN32" s="8">
        <f t="shared" si="41"/>
        <v>8000</v>
      </c>
      <c r="GO32" s="100">
        <v>2500</v>
      </c>
      <c r="GP32" s="8">
        <f t="shared" si="56"/>
        <v>20000000</v>
      </c>
      <c r="GQ32" s="8">
        <f t="shared" si="42"/>
        <v>37500000</v>
      </c>
      <c r="GR32" s="8">
        <f t="shared" si="43"/>
        <v>14864000</v>
      </c>
      <c r="GS32" s="8">
        <f t="shared" si="44"/>
        <v>32364000</v>
      </c>
      <c r="GT32" s="15" t="s">
        <v>1779</v>
      </c>
      <c r="GU32" s="48"/>
    </row>
    <row r="33" spans="1:203" ht="158.25" customHeight="1">
      <c r="A33" s="44">
        <v>34</v>
      </c>
      <c r="B33" s="22" t="s">
        <v>458</v>
      </c>
      <c r="C33" s="14" t="s">
        <v>438</v>
      </c>
      <c r="D33" s="13" t="s">
        <v>87</v>
      </c>
      <c r="E33" s="13" t="s">
        <v>439</v>
      </c>
      <c r="F33" s="15" t="s">
        <v>731</v>
      </c>
      <c r="G33" s="14" t="s">
        <v>440</v>
      </c>
      <c r="H33" s="13" t="s">
        <v>88</v>
      </c>
      <c r="I33" s="15" t="s">
        <v>279</v>
      </c>
      <c r="J33" s="14" t="s">
        <v>441</v>
      </c>
      <c r="K33" s="15" t="s">
        <v>280</v>
      </c>
      <c r="L33" s="13" t="s">
        <v>442</v>
      </c>
      <c r="M33" s="13" t="s">
        <v>89</v>
      </c>
      <c r="N33" s="15" t="s">
        <v>626</v>
      </c>
      <c r="O33" s="15" t="s">
        <v>284</v>
      </c>
      <c r="P33" s="15" t="s">
        <v>285</v>
      </c>
      <c r="Q33" s="15" t="s">
        <v>128</v>
      </c>
      <c r="R33" s="20">
        <v>2</v>
      </c>
      <c r="S33" s="21">
        <v>3</v>
      </c>
      <c r="T33" s="7">
        <v>15000</v>
      </c>
      <c r="U33" s="15">
        <v>45</v>
      </c>
      <c r="V33" s="7">
        <v>60</v>
      </c>
      <c r="W33" s="15" t="s">
        <v>283</v>
      </c>
      <c r="X33" s="7">
        <v>4</v>
      </c>
      <c r="Y33" s="15">
        <v>7</v>
      </c>
      <c r="Z33" s="7" t="s">
        <v>281</v>
      </c>
      <c r="AA33" s="15" t="s">
        <v>282</v>
      </c>
      <c r="AB33" s="15" t="s">
        <v>286</v>
      </c>
      <c r="AC33" s="3">
        <v>50000</v>
      </c>
      <c r="AD33" s="13">
        <v>20</v>
      </c>
      <c r="AE33" s="13"/>
      <c r="AF33" s="3">
        <v>80000</v>
      </c>
      <c r="AG33" s="3">
        <f t="shared" si="45"/>
        <v>1000000</v>
      </c>
      <c r="AH33" s="15" t="s">
        <v>443</v>
      </c>
      <c r="AI33" s="13"/>
      <c r="AJ33" s="13">
        <v>1000</v>
      </c>
      <c r="AK33" s="13"/>
      <c r="AL33" s="13">
        <v>6000</v>
      </c>
      <c r="AM33" s="13"/>
      <c r="AN33" s="13">
        <v>3000</v>
      </c>
      <c r="AO33" s="13"/>
      <c r="AP33" s="13">
        <v>6000</v>
      </c>
      <c r="AQ33" s="2">
        <f t="shared" si="0"/>
        <v>0</v>
      </c>
      <c r="AR33" s="15" t="s">
        <v>287</v>
      </c>
      <c r="AS33" s="15" t="s">
        <v>288</v>
      </c>
      <c r="AT33" s="2" t="s">
        <v>139</v>
      </c>
      <c r="AU33" s="13">
        <v>7.5</v>
      </c>
      <c r="AV33" s="3">
        <v>6000</v>
      </c>
      <c r="AW33" s="2">
        <f t="shared" si="95"/>
        <v>45000</v>
      </c>
      <c r="AX33" s="2" t="s">
        <v>139</v>
      </c>
      <c r="AY33" s="13">
        <v>5</v>
      </c>
      <c r="AZ33" s="3">
        <v>6000</v>
      </c>
      <c r="BA33" s="2">
        <f t="shared" si="96"/>
        <v>30000</v>
      </c>
      <c r="BB33" s="2" t="s">
        <v>139</v>
      </c>
      <c r="BC33" s="13">
        <v>2</v>
      </c>
      <c r="BD33" s="3">
        <v>6000</v>
      </c>
      <c r="BE33" s="3">
        <f t="shared" si="97"/>
        <v>12000</v>
      </c>
      <c r="BF33" s="3" t="s">
        <v>125</v>
      </c>
      <c r="BG33" s="2">
        <v>2</v>
      </c>
      <c r="BH33" s="3">
        <v>6000</v>
      </c>
      <c r="BI33" s="3">
        <f t="shared" si="85"/>
        <v>12000</v>
      </c>
      <c r="BJ33" s="3" t="s">
        <v>126</v>
      </c>
      <c r="BK33" s="13"/>
      <c r="BL33" s="3">
        <v>1000</v>
      </c>
      <c r="BM33" s="3">
        <f t="shared" si="98"/>
        <v>0</v>
      </c>
      <c r="BN33" s="13" t="s">
        <v>20</v>
      </c>
      <c r="BO33" s="13"/>
      <c r="BP33" s="2">
        <v>3000</v>
      </c>
      <c r="BQ33" s="3">
        <f t="shared" si="93"/>
        <v>0</v>
      </c>
      <c r="BR33" s="2" t="s">
        <v>126</v>
      </c>
      <c r="BS33" s="13"/>
      <c r="BT33" s="2">
        <f>6000</f>
        <v>6000</v>
      </c>
      <c r="BU33" s="3">
        <f t="shared" si="99"/>
        <v>0</v>
      </c>
      <c r="BV33" s="2" t="s">
        <v>126</v>
      </c>
      <c r="BW33" s="13">
        <v>9</v>
      </c>
      <c r="BX33" s="2">
        <v>6000</v>
      </c>
      <c r="BY33" s="3">
        <f t="shared" si="100"/>
        <v>54000</v>
      </c>
      <c r="BZ33" s="92">
        <f t="shared" si="101"/>
        <v>123000</v>
      </c>
      <c r="CA33" s="2" t="s">
        <v>139</v>
      </c>
      <c r="CB33" s="3">
        <v>5</v>
      </c>
      <c r="CC33" s="3">
        <v>8000</v>
      </c>
      <c r="CD33" s="3">
        <f t="shared" si="10"/>
        <v>40000</v>
      </c>
      <c r="CE33" s="2" t="s">
        <v>139</v>
      </c>
      <c r="CF33" s="2">
        <v>30</v>
      </c>
      <c r="CG33" s="2">
        <v>6000</v>
      </c>
      <c r="CH33" s="3">
        <f t="shared" si="11"/>
        <v>180000</v>
      </c>
      <c r="CI33" s="3" t="s">
        <v>139</v>
      </c>
      <c r="CJ33" s="3">
        <v>1</v>
      </c>
      <c r="CK33" s="13"/>
      <c r="CL33" s="3">
        <f t="shared" si="12"/>
        <v>0</v>
      </c>
      <c r="CM33" s="5">
        <f t="shared" si="13"/>
        <v>220000</v>
      </c>
      <c r="CN33" s="3" t="s">
        <v>125</v>
      </c>
      <c r="CO33" s="3">
        <v>0</v>
      </c>
      <c r="CP33" s="3">
        <v>6000</v>
      </c>
      <c r="CQ33" s="3">
        <f t="shared" ref="CQ33" si="109">CO33*CP33</f>
        <v>0</v>
      </c>
      <c r="CR33" s="3" t="s">
        <v>125</v>
      </c>
      <c r="CS33" s="3">
        <v>75</v>
      </c>
      <c r="CT33" s="3">
        <v>6000</v>
      </c>
      <c r="CU33" s="3">
        <f t="shared" si="83"/>
        <v>450000</v>
      </c>
      <c r="CV33" s="3" t="s">
        <v>125</v>
      </c>
      <c r="CW33" s="3">
        <v>30</v>
      </c>
      <c r="CX33" s="3">
        <v>6000</v>
      </c>
      <c r="CY33" s="3">
        <f t="shared" ref="CY33" si="110">CW33*CX33</f>
        <v>180000</v>
      </c>
      <c r="CZ33" s="3" t="s">
        <v>125</v>
      </c>
      <c r="DA33" s="3">
        <v>15</v>
      </c>
      <c r="DB33" s="3">
        <v>6000</v>
      </c>
      <c r="DC33" s="3">
        <f t="shared" ref="DC33" si="111">DA33*DB33</f>
        <v>90000</v>
      </c>
      <c r="DD33" s="3" t="s">
        <v>125</v>
      </c>
      <c r="DE33" s="3">
        <v>5</v>
      </c>
      <c r="DF33" s="3">
        <v>6000</v>
      </c>
      <c r="DG33" s="3">
        <f t="shared" ref="DG33" si="112">DE33*DF33</f>
        <v>30000</v>
      </c>
      <c r="DH33" s="3" t="s">
        <v>125</v>
      </c>
      <c r="DI33" s="3">
        <v>100</v>
      </c>
      <c r="DJ33" s="3">
        <v>6000</v>
      </c>
      <c r="DK33" s="3">
        <f t="shared" ref="DK33" si="113">DI33*DJ33</f>
        <v>600000</v>
      </c>
      <c r="DL33" s="3" t="s">
        <v>125</v>
      </c>
      <c r="DM33" s="3"/>
      <c r="DN33" s="3">
        <v>6000</v>
      </c>
      <c r="DO33" s="3">
        <f t="shared" si="84"/>
        <v>0</v>
      </c>
      <c r="DP33" s="3" t="s">
        <v>125</v>
      </c>
      <c r="DQ33" s="3"/>
      <c r="DR33" s="3">
        <v>6000</v>
      </c>
      <c r="DS33" s="3">
        <f t="shared" ref="DS33" si="114">DQ33*DR33</f>
        <v>0</v>
      </c>
      <c r="DT33" s="6">
        <f t="shared" ref="DT33" si="115">CQ33+CU33+CY33+DC33+DG33+DK33+DO33+DS33</f>
        <v>1350000</v>
      </c>
      <c r="DU33" s="2" t="s">
        <v>157</v>
      </c>
      <c r="DV33" s="3">
        <f t="shared" si="46"/>
        <v>2</v>
      </c>
      <c r="DW33" s="3">
        <f t="shared" si="47"/>
        <v>15000</v>
      </c>
      <c r="DX33" s="3">
        <f t="shared" si="23"/>
        <v>30000</v>
      </c>
      <c r="DY33" s="3" t="s">
        <v>127</v>
      </c>
      <c r="DZ33" s="3">
        <f t="shared" si="48"/>
        <v>20</v>
      </c>
      <c r="EA33" s="2">
        <v>50000</v>
      </c>
      <c r="EB33" s="3">
        <f t="shared" si="24"/>
        <v>1000000</v>
      </c>
      <c r="EC33" s="2" t="s">
        <v>127</v>
      </c>
      <c r="ED33" s="3">
        <f t="shared" si="49"/>
        <v>0</v>
      </c>
      <c r="EE33" s="3">
        <v>80000</v>
      </c>
      <c r="EF33" s="3">
        <f t="shared" si="25"/>
        <v>0</v>
      </c>
      <c r="EG33" s="2" t="s">
        <v>157</v>
      </c>
      <c r="EH33" s="3">
        <f t="shared" si="50"/>
        <v>0</v>
      </c>
      <c r="EI33" s="3">
        <v>6000</v>
      </c>
      <c r="EJ33" s="7">
        <f t="shared" si="26"/>
        <v>0</v>
      </c>
      <c r="EK33" s="2" t="s">
        <v>157</v>
      </c>
      <c r="EL33" s="13">
        <f t="shared" si="94"/>
        <v>0</v>
      </c>
      <c r="EM33" s="3">
        <v>3000</v>
      </c>
      <c r="EN33" s="3">
        <f t="shared" si="27"/>
        <v>0</v>
      </c>
      <c r="EO33" s="3" t="s">
        <v>126</v>
      </c>
      <c r="EP33" s="3">
        <f t="shared" si="52"/>
        <v>0</v>
      </c>
      <c r="EQ33" s="3">
        <v>1000</v>
      </c>
      <c r="ER33" s="7">
        <f t="shared" si="53"/>
        <v>0</v>
      </c>
      <c r="ES33" s="3" t="s">
        <v>124</v>
      </c>
      <c r="ET33" s="2">
        <v>1</v>
      </c>
      <c r="EU33" s="3">
        <v>60000</v>
      </c>
      <c r="EV33" s="3">
        <f t="shared" si="28"/>
        <v>60000</v>
      </c>
      <c r="EW33" s="3" t="s">
        <v>124</v>
      </c>
      <c r="EX33" s="13"/>
      <c r="EY33" s="3">
        <v>60000</v>
      </c>
      <c r="EZ33" s="3">
        <f t="shared" si="29"/>
        <v>0</v>
      </c>
      <c r="FA33" s="2" t="s">
        <v>170</v>
      </c>
      <c r="FB33" s="13"/>
      <c r="FC33" s="3">
        <v>1000</v>
      </c>
      <c r="FD33" s="3">
        <f t="shared" si="30"/>
        <v>0</v>
      </c>
      <c r="FE33" s="3" t="s">
        <v>126</v>
      </c>
      <c r="FF33" s="3">
        <f t="shared" si="54"/>
        <v>0</v>
      </c>
      <c r="FG33" s="3">
        <v>6000</v>
      </c>
      <c r="FH33" s="3">
        <f t="shared" si="31"/>
        <v>0</v>
      </c>
      <c r="FI33" s="1">
        <f t="shared" si="32"/>
        <v>1090000</v>
      </c>
      <c r="FJ33" s="3" t="s">
        <v>139</v>
      </c>
      <c r="FK33" s="2">
        <v>40</v>
      </c>
      <c r="FL33" s="2">
        <v>6000</v>
      </c>
      <c r="FM33" s="3">
        <f t="shared" si="33"/>
        <v>240000</v>
      </c>
      <c r="FN33" s="3" t="s">
        <v>139</v>
      </c>
      <c r="FO33" s="13"/>
      <c r="FP33" s="3">
        <v>6000</v>
      </c>
      <c r="FQ33" s="3">
        <f t="shared" si="55"/>
        <v>0</v>
      </c>
      <c r="FR33" s="3" t="s">
        <v>139</v>
      </c>
      <c r="FS33" s="13"/>
      <c r="FT33" s="13">
        <v>6000</v>
      </c>
      <c r="FU33" s="3">
        <f t="shared" si="34"/>
        <v>0</v>
      </c>
      <c r="FV33" s="3" t="s">
        <v>139</v>
      </c>
      <c r="FW33" s="13"/>
      <c r="FX33" s="3">
        <v>8000</v>
      </c>
      <c r="FY33" s="3">
        <f t="shared" si="35"/>
        <v>0</v>
      </c>
      <c r="FZ33" s="3" t="s">
        <v>139</v>
      </c>
      <c r="GA33" s="3">
        <v>2</v>
      </c>
      <c r="GB33" s="3">
        <v>8000</v>
      </c>
      <c r="GC33" s="3">
        <f t="shared" si="36"/>
        <v>16000</v>
      </c>
      <c r="GD33" s="3" t="s">
        <v>139</v>
      </c>
      <c r="GE33" s="3">
        <v>10</v>
      </c>
      <c r="GF33" s="3">
        <v>10000</v>
      </c>
      <c r="GG33" s="3">
        <f t="shared" si="37"/>
        <v>100000</v>
      </c>
      <c r="GH33" s="3" t="s">
        <v>139</v>
      </c>
      <c r="GI33" s="13"/>
      <c r="GJ33" s="13"/>
      <c r="GK33" s="3">
        <f t="shared" si="38"/>
        <v>0</v>
      </c>
      <c r="GL33" s="92">
        <f t="shared" si="39"/>
        <v>356000</v>
      </c>
      <c r="GM33" s="8">
        <f t="shared" si="40"/>
        <v>3139000</v>
      </c>
      <c r="GN33" s="8">
        <f t="shared" si="41"/>
        <v>4000</v>
      </c>
      <c r="GO33" s="100">
        <v>2000</v>
      </c>
      <c r="GP33" s="8">
        <f t="shared" si="56"/>
        <v>8000000</v>
      </c>
      <c r="GQ33" s="8">
        <f t="shared" si="42"/>
        <v>14000000</v>
      </c>
      <c r="GR33" s="8">
        <f t="shared" si="43"/>
        <v>4861000</v>
      </c>
      <c r="GS33" s="8">
        <f t="shared" si="44"/>
        <v>10861000</v>
      </c>
      <c r="GT33" s="15" t="s">
        <v>1778</v>
      </c>
      <c r="GU33" s="47"/>
    </row>
    <row r="34" spans="1:203" s="26" customFormat="1" ht="158.25" customHeight="1">
      <c r="A34" s="44">
        <v>35</v>
      </c>
      <c r="B34" s="22" t="s">
        <v>92</v>
      </c>
      <c r="C34" s="14" t="s">
        <v>91</v>
      </c>
      <c r="D34" s="15" t="s">
        <v>312</v>
      </c>
      <c r="E34" s="15" t="s">
        <v>732</v>
      </c>
      <c r="F34" s="15" t="s">
        <v>732</v>
      </c>
      <c r="G34" s="14" t="s">
        <v>93</v>
      </c>
      <c r="H34" s="14" t="s">
        <v>88</v>
      </c>
      <c r="I34" s="15" t="s">
        <v>686</v>
      </c>
      <c r="J34" s="14" t="s">
        <v>444</v>
      </c>
      <c r="K34" s="15" t="s">
        <v>325</v>
      </c>
      <c r="L34" s="15" t="s">
        <v>326</v>
      </c>
      <c r="M34" s="15" t="s">
        <v>327</v>
      </c>
      <c r="N34" s="14" t="s">
        <v>445</v>
      </c>
      <c r="O34" s="15" t="s">
        <v>329</v>
      </c>
      <c r="P34" s="14" t="s">
        <v>446</v>
      </c>
      <c r="Q34" s="15" t="s">
        <v>328</v>
      </c>
      <c r="R34" s="15">
        <v>1500</v>
      </c>
      <c r="S34" s="15">
        <v>2500</v>
      </c>
      <c r="T34" s="15">
        <v>3000</v>
      </c>
      <c r="U34" s="15">
        <v>240</v>
      </c>
      <c r="V34" s="15">
        <v>300</v>
      </c>
      <c r="W34" s="15" t="s">
        <v>346</v>
      </c>
      <c r="X34" s="15">
        <v>15</v>
      </c>
      <c r="Y34" s="15">
        <v>25</v>
      </c>
      <c r="Z34" s="15" t="s">
        <v>330</v>
      </c>
      <c r="AA34" s="15" t="s">
        <v>344</v>
      </c>
      <c r="AB34" s="15" t="s">
        <v>331</v>
      </c>
      <c r="AC34" s="3">
        <v>50000</v>
      </c>
      <c r="AD34" s="14">
        <v>15</v>
      </c>
      <c r="AE34" s="14"/>
      <c r="AF34" s="3">
        <v>80000</v>
      </c>
      <c r="AG34" s="3">
        <f t="shared" si="45"/>
        <v>750000</v>
      </c>
      <c r="AH34" s="15" t="s">
        <v>332</v>
      </c>
      <c r="AI34" s="13"/>
      <c r="AJ34" s="13">
        <v>1000</v>
      </c>
      <c r="AK34" s="13">
        <v>250</v>
      </c>
      <c r="AL34" s="13">
        <v>6000</v>
      </c>
      <c r="AM34" s="13"/>
      <c r="AN34" s="13">
        <v>3000</v>
      </c>
      <c r="AO34" s="13"/>
      <c r="AP34" s="13">
        <v>6000</v>
      </c>
      <c r="AQ34" s="2">
        <f t="shared" si="0"/>
        <v>1500000</v>
      </c>
      <c r="AR34" s="15" t="s">
        <v>334</v>
      </c>
      <c r="AS34" s="15" t="s">
        <v>333</v>
      </c>
      <c r="AT34" s="2" t="s">
        <v>139</v>
      </c>
      <c r="AU34" s="13"/>
      <c r="AV34" s="3">
        <v>6000</v>
      </c>
      <c r="AW34" s="2">
        <f t="shared" si="72"/>
        <v>0</v>
      </c>
      <c r="AX34" s="2" t="s">
        <v>139</v>
      </c>
      <c r="AY34" s="13"/>
      <c r="AZ34" s="3">
        <v>6000</v>
      </c>
      <c r="BA34" s="2">
        <f t="shared" si="2"/>
        <v>0</v>
      </c>
      <c r="BB34" s="2" t="s">
        <v>139</v>
      </c>
      <c r="BC34" s="85"/>
      <c r="BD34" s="3">
        <v>6000</v>
      </c>
      <c r="BE34" s="3">
        <f t="shared" si="3"/>
        <v>0</v>
      </c>
      <c r="BF34" s="3" t="s">
        <v>125</v>
      </c>
      <c r="BG34" s="13"/>
      <c r="BH34" s="3">
        <v>6000</v>
      </c>
      <c r="BI34" s="3">
        <f t="shared" si="85"/>
        <v>0</v>
      </c>
      <c r="BJ34" s="3" t="s">
        <v>126</v>
      </c>
      <c r="BK34" s="13"/>
      <c r="BL34" s="3">
        <v>1000</v>
      </c>
      <c r="BM34" s="3">
        <f t="shared" si="62"/>
        <v>0</v>
      </c>
      <c r="BN34" s="13" t="s">
        <v>20</v>
      </c>
      <c r="BO34" s="13"/>
      <c r="BP34" s="2">
        <v>3000</v>
      </c>
      <c r="BQ34" s="13"/>
      <c r="BR34" s="2" t="s">
        <v>126</v>
      </c>
      <c r="BS34" s="13"/>
      <c r="BT34" s="2">
        <f>6000</f>
        <v>6000</v>
      </c>
      <c r="BU34" s="3">
        <f t="shared" si="7"/>
        <v>0</v>
      </c>
      <c r="BV34" s="2" t="s">
        <v>126</v>
      </c>
      <c r="BW34" s="13"/>
      <c r="BX34" s="2">
        <v>6000</v>
      </c>
      <c r="BY34" s="3">
        <f t="shared" si="73"/>
        <v>0</v>
      </c>
      <c r="BZ34" s="92">
        <f t="shared" si="9"/>
        <v>0</v>
      </c>
      <c r="CA34" s="2" t="s">
        <v>139</v>
      </c>
      <c r="CB34" s="3">
        <v>5</v>
      </c>
      <c r="CC34" s="3">
        <v>8000</v>
      </c>
      <c r="CD34" s="3">
        <f t="shared" si="10"/>
        <v>40000</v>
      </c>
      <c r="CE34" s="2" t="s">
        <v>139</v>
      </c>
      <c r="CF34" s="2">
        <v>30</v>
      </c>
      <c r="CG34" s="2">
        <v>6000</v>
      </c>
      <c r="CH34" s="3">
        <f t="shared" si="11"/>
        <v>180000</v>
      </c>
      <c r="CI34" s="3" t="s">
        <v>139</v>
      </c>
      <c r="CJ34" s="3">
        <v>1</v>
      </c>
      <c r="CK34" s="13"/>
      <c r="CL34" s="3">
        <f t="shared" si="12"/>
        <v>0</v>
      </c>
      <c r="CM34" s="5">
        <f t="shared" si="13"/>
        <v>220000</v>
      </c>
      <c r="CN34" s="2" t="s">
        <v>139</v>
      </c>
      <c r="CO34" s="13"/>
      <c r="CP34" s="2">
        <v>6000</v>
      </c>
      <c r="CQ34" s="2">
        <f t="shared" si="14"/>
        <v>0</v>
      </c>
      <c r="CR34" s="2" t="s">
        <v>139</v>
      </c>
      <c r="CS34" s="13"/>
      <c r="CT34" s="2">
        <v>6000</v>
      </c>
      <c r="CU34" s="2">
        <f t="shared" si="83"/>
        <v>0</v>
      </c>
      <c r="CV34" s="2" t="s">
        <v>139</v>
      </c>
      <c r="CW34" s="13"/>
      <c r="CX34" s="2">
        <v>6000</v>
      </c>
      <c r="CY34" s="2">
        <f t="shared" si="16"/>
        <v>0</v>
      </c>
      <c r="CZ34" s="2" t="s">
        <v>139</v>
      </c>
      <c r="DA34" s="13"/>
      <c r="DB34" s="2">
        <v>6000</v>
      </c>
      <c r="DC34" s="2">
        <f t="shared" si="17"/>
        <v>0</v>
      </c>
      <c r="DD34" s="2" t="s">
        <v>139</v>
      </c>
      <c r="DE34" s="13"/>
      <c r="DF34" s="2">
        <v>6000</v>
      </c>
      <c r="DG34" s="2">
        <f t="shared" si="18"/>
        <v>0</v>
      </c>
      <c r="DH34" s="2" t="s">
        <v>139</v>
      </c>
      <c r="DI34" s="13"/>
      <c r="DJ34" s="2">
        <v>6000</v>
      </c>
      <c r="DK34" s="2">
        <f t="shared" si="19"/>
        <v>0</v>
      </c>
      <c r="DL34" s="3" t="s">
        <v>125</v>
      </c>
      <c r="DM34" s="13"/>
      <c r="DN34" s="3">
        <v>6000</v>
      </c>
      <c r="DO34" s="2">
        <f t="shared" si="84"/>
        <v>0</v>
      </c>
      <c r="DP34" s="2" t="s">
        <v>139</v>
      </c>
      <c r="DQ34" s="13"/>
      <c r="DR34" s="3">
        <v>6000</v>
      </c>
      <c r="DS34" s="2">
        <f t="shared" si="21"/>
        <v>0</v>
      </c>
      <c r="DT34" s="6">
        <f t="shared" si="22"/>
        <v>0</v>
      </c>
      <c r="DU34" s="2" t="s">
        <v>157</v>
      </c>
      <c r="DV34" s="3">
        <f t="shared" si="46"/>
        <v>1500</v>
      </c>
      <c r="DW34" s="3">
        <f t="shared" si="47"/>
        <v>3000</v>
      </c>
      <c r="DX34" s="3">
        <f t="shared" si="23"/>
        <v>4500000</v>
      </c>
      <c r="DY34" s="3" t="s">
        <v>127</v>
      </c>
      <c r="DZ34" s="3">
        <f t="shared" si="48"/>
        <v>15</v>
      </c>
      <c r="EA34" s="2">
        <v>50000</v>
      </c>
      <c r="EB34" s="3">
        <f t="shared" si="24"/>
        <v>750000</v>
      </c>
      <c r="EC34" s="2" t="s">
        <v>127</v>
      </c>
      <c r="ED34" s="3">
        <f t="shared" si="49"/>
        <v>0</v>
      </c>
      <c r="EE34" s="3">
        <v>80000</v>
      </c>
      <c r="EF34" s="3">
        <f t="shared" si="25"/>
        <v>0</v>
      </c>
      <c r="EG34" s="2" t="s">
        <v>157</v>
      </c>
      <c r="EH34" s="3">
        <f t="shared" si="50"/>
        <v>250</v>
      </c>
      <c r="EI34" s="3">
        <v>6000</v>
      </c>
      <c r="EJ34" s="7">
        <f t="shared" si="26"/>
        <v>1500000</v>
      </c>
      <c r="EK34" s="2" t="s">
        <v>157</v>
      </c>
      <c r="EL34" s="13">
        <f t="shared" si="94"/>
        <v>0</v>
      </c>
      <c r="EM34" s="3">
        <v>3000</v>
      </c>
      <c r="EN34" s="3">
        <f t="shared" si="27"/>
        <v>0</v>
      </c>
      <c r="EO34" s="3" t="s">
        <v>126</v>
      </c>
      <c r="EP34" s="3">
        <f t="shared" si="52"/>
        <v>0</v>
      </c>
      <c r="EQ34" s="3">
        <v>1000</v>
      </c>
      <c r="ER34" s="7">
        <f t="shared" si="53"/>
        <v>0</v>
      </c>
      <c r="ES34" s="3" t="s">
        <v>124</v>
      </c>
      <c r="ET34" s="2">
        <v>1</v>
      </c>
      <c r="EU34" s="3">
        <v>60000</v>
      </c>
      <c r="EV34" s="3">
        <f t="shared" si="28"/>
        <v>60000</v>
      </c>
      <c r="EW34" s="3" t="s">
        <v>124</v>
      </c>
      <c r="EX34" s="13"/>
      <c r="EY34" s="3">
        <v>60000</v>
      </c>
      <c r="EZ34" s="3">
        <f t="shared" si="29"/>
        <v>0</v>
      </c>
      <c r="FA34" s="2" t="s">
        <v>170</v>
      </c>
      <c r="FB34" s="13"/>
      <c r="FC34" s="3">
        <v>1000</v>
      </c>
      <c r="FD34" s="3">
        <f t="shared" si="30"/>
        <v>0</v>
      </c>
      <c r="FE34" s="3" t="s">
        <v>126</v>
      </c>
      <c r="FF34" s="3">
        <f t="shared" si="54"/>
        <v>0</v>
      </c>
      <c r="FG34" s="3">
        <v>6000</v>
      </c>
      <c r="FH34" s="3">
        <f t="shared" si="31"/>
        <v>0</v>
      </c>
      <c r="FI34" s="1">
        <f t="shared" si="32"/>
        <v>6810000</v>
      </c>
      <c r="FJ34" s="3" t="s">
        <v>139</v>
      </c>
      <c r="FK34" s="2">
        <v>40</v>
      </c>
      <c r="FL34" s="2">
        <v>6000</v>
      </c>
      <c r="FM34" s="3">
        <f t="shared" si="33"/>
        <v>240000</v>
      </c>
      <c r="FN34" s="3" t="s">
        <v>139</v>
      </c>
      <c r="FO34" s="13"/>
      <c r="FP34" s="3">
        <v>6000</v>
      </c>
      <c r="FQ34" s="3">
        <f t="shared" si="55"/>
        <v>0</v>
      </c>
      <c r="FR34" s="3" t="s">
        <v>139</v>
      </c>
      <c r="FS34" s="13"/>
      <c r="FT34" s="13">
        <v>6000</v>
      </c>
      <c r="FU34" s="3">
        <f t="shared" si="34"/>
        <v>0</v>
      </c>
      <c r="FV34" s="3" t="s">
        <v>139</v>
      </c>
      <c r="FW34" s="13"/>
      <c r="FX34" s="3">
        <v>8000</v>
      </c>
      <c r="FY34" s="3">
        <f t="shared" si="35"/>
        <v>0</v>
      </c>
      <c r="FZ34" s="3" t="s">
        <v>139</v>
      </c>
      <c r="GA34" s="3">
        <v>2</v>
      </c>
      <c r="GB34" s="3">
        <v>8000</v>
      </c>
      <c r="GC34" s="3">
        <f t="shared" si="36"/>
        <v>16000</v>
      </c>
      <c r="GD34" s="3" t="s">
        <v>139</v>
      </c>
      <c r="GE34" s="3">
        <v>10</v>
      </c>
      <c r="GF34" s="3">
        <v>10000</v>
      </c>
      <c r="GG34" s="3">
        <f t="shared" si="37"/>
        <v>100000</v>
      </c>
      <c r="GH34" s="3" t="s">
        <v>139</v>
      </c>
      <c r="GI34" s="13"/>
      <c r="GJ34" s="13"/>
      <c r="GK34" s="3">
        <f t="shared" si="38"/>
        <v>0</v>
      </c>
      <c r="GL34" s="92">
        <f t="shared" si="39"/>
        <v>356000</v>
      </c>
      <c r="GM34" s="8">
        <f t="shared" si="40"/>
        <v>7386000</v>
      </c>
      <c r="GN34" s="8">
        <f t="shared" si="41"/>
        <v>15000</v>
      </c>
      <c r="GO34" s="101">
        <v>4000</v>
      </c>
      <c r="GP34" s="8">
        <f t="shared" si="56"/>
        <v>60000000</v>
      </c>
      <c r="GQ34" s="8">
        <f t="shared" si="42"/>
        <v>100000000</v>
      </c>
      <c r="GR34" s="8">
        <f t="shared" si="43"/>
        <v>52614000</v>
      </c>
      <c r="GS34" s="8">
        <f t="shared" si="44"/>
        <v>92614000</v>
      </c>
      <c r="GT34" s="15" t="s">
        <v>1777</v>
      </c>
      <c r="GU34" s="48"/>
    </row>
    <row r="35" spans="1:203" s="26" customFormat="1" ht="158.25" customHeight="1">
      <c r="A35" s="44">
        <v>36</v>
      </c>
      <c r="B35" s="22" t="s">
        <v>94</v>
      </c>
      <c r="C35" s="14" t="s">
        <v>95</v>
      </c>
      <c r="D35" s="15" t="s">
        <v>335</v>
      </c>
      <c r="E35" s="15" t="s">
        <v>733</v>
      </c>
      <c r="F35" s="15" t="s">
        <v>733</v>
      </c>
      <c r="G35" s="14" t="s">
        <v>447</v>
      </c>
      <c r="H35" s="14" t="s">
        <v>88</v>
      </c>
      <c r="I35" s="15" t="s">
        <v>687</v>
      </c>
      <c r="J35" s="15" t="s">
        <v>336</v>
      </c>
      <c r="K35" s="15" t="s">
        <v>325</v>
      </c>
      <c r="L35" s="15" t="s">
        <v>337</v>
      </c>
      <c r="M35" s="15" t="s">
        <v>338</v>
      </c>
      <c r="N35" s="15" t="s">
        <v>345</v>
      </c>
      <c r="O35" s="15" t="s">
        <v>329</v>
      </c>
      <c r="P35" s="14" t="s">
        <v>448</v>
      </c>
      <c r="Q35" s="15" t="s">
        <v>328</v>
      </c>
      <c r="R35" s="15">
        <v>2000</v>
      </c>
      <c r="S35" s="15">
        <v>3000</v>
      </c>
      <c r="T35" s="15">
        <v>3000</v>
      </c>
      <c r="U35" s="15">
        <v>240</v>
      </c>
      <c r="V35" s="15">
        <v>300</v>
      </c>
      <c r="W35" s="15" t="s">
        <v>347</v>
      </c>
      <c r="X35" s="15">
        <v>10</v>
      </c>
      <c r="Y35" s="15">
        <v>20</v>
      </c>
      <c r="Z35" s="15" t="s">
        <v>339</v>
      </c>
      <c r="AA35" s="15" t="s">
        <v>340</v>
      </c>
      <c r="AB35" s="15" t="s">
        <v>341</v>
      </c>
      <c r="AC35" s="3">
        <v>50000</v>
      </c>
      <c r="AD35" s="14">
        <v>15</v>
      </c>
      <c r="AE35" s="14"/>
      <c r="AF35" s="3">
        <v>80000</v>
      </c>
      <c r="AG35" s="3">
        <f t="shared" si="45"/>
        <v>750000</v>
      </c>
      <c r="AH35" s="15" t="s">
        <v>342</v>
      </c>
      <c r="AI35" s="13">
        <v>500</v>
      </c>
      <c r="AJ35" s="13">
        <v>1000</v>
      </c>
      <c r="AK35" s="13">
        <v>300</v>
      </c>
      <c r="AL35" s="13">
        <v>6000</v>
      </c>
      <c r="AM35" s="13"/>
      <c r="AN35" s="13">
        <v>3000</v>
      </c>
      <c r="AO35" s="13"/>
      <c r="AP35" s="13">
        <v>6000</v>
      </c>
      <c r="AQ35" s="2">
        <f t="shared" si="0"/>
        <v>2300000</v>
      </c>
      <c r="AR35" s="15" t="s">
        <v>343</v>
      </c>
      <c r="AS35" s="15" t="s">
        <v>348</v>
      </c>
      <c r="AT35" s="2" t="s">
        <v>139</v>
      </c>
      <c r="AU35" s="13"/>
      <c r="AV35" s="3">
        <v>6000</v>
      </c>
      <c r="AW35" s="2">
        <f t="shared" si="72"/>
        <v>0</v>
      </c>
      <c r="AX35" s="2" t="s">
        <v>139</v>
      </c>
      <c r="AY35" s="13"/>
      <c r="AZ35" s="3">
        <v>6000</v>
      </c>
      <c r="BA35" s="2">
        <f t="shared" si="2"/>
        <v>0</v>
      </c>
      <c r="BB35" s="2" t="s">
        <v>139</v>
      </c>
      <c r="BC35" s="85"/>
      <c r="BD35" s="3">
        <v>6000</v>
      </c>
      <c r="BE35" s="3">
        <f t="shared" si="3"/>
        <v>0</v>
      </c>
      <c r="BF35" s="3" t="s">
        <v>125</v>
      </c>
      <c r="BG35" s="13"/>
      <c r="BH35" s="3">
        <v>6000</v>
      </c>
      <c r="BI35" s="3">
        <f t="shared" si="85"/>
        <v>0</v>
      </c>
      <c r="BJ35" s="3" t="s">
        <v>126</v>
      </c>
      <c r="BK35" s="13"/>
      <c r="BL35" s="3">
        <v>1000</v>
      </c>
      <c r="BM35" s="3">
        <f t="shared" si="62"/>
        <v>0</v>
      </c>
      <c r="BN35" s="13" t="s">
        <v>20</v>
      </c>
      <c r="BO35" s="13"/>
      <c r="BP35" s="2">
        <v>3000</v>
      </c>
      <c r="BQ35" s="13"/>
      <c r="BR35" s="2" t="s">
        <v>126</v>
      </c>
      <c r="BS35" s="13"/>
      <c r="BT35" s="2">
        <f>6000</f>
        <v>6000</v>
      </c>
      <c r="BU35" s="3">
        <f t="shared" si="7"/>
        <v>0</v>
      </c>
      <c r="BV35" s="2" t="s">
        <v>126</v>
      </c>
      <c r="BW35" s="13"/>
      <c r="BX35" s="2">
        <v>6000</v>
      </c>
      <c r="BY35" s="3">
        <f t="shared" si="73"/>
        <v>0</v>
      </c>
      <c r="BZ35" s="92">
        <f t="shared" si="9"/>
        <v>0</v>
      </c>
      <c r="CA35" s="2" t="s">
        <v>139</v>
      </c>
      <c r="CB35" s="3">
        <v>5</v>
      </c>
      <c r="CC35" s="3">
        <v>8000</v>
      </c>
      <c r="CD35" s="3">
        <f t="shared" si="10"/>
        <v>40000</v>
      </c>
      <c r="CE35" s="2" t="s">
        <v>139</v>
      </c>
      <c r="CF35" s="2">
        <v>30</v>
      </c>
      <c r="CG35" s="2">
        <v>6000</v>
      </c>
      <c r="CH35" s="3">
        <f t="shared" si="11"/>
        <v>180000</v>
      </c>
      <c r="CI35" s="3" t="s">
        <v>139</v>
      </c>
      <c r="CJ35" s="3">
        <v>1</v>
      </c>
      <c r="CK35" s="13"/>
      <c r="CL35" s="3">
        <f t="shared" si="12"/>
        <v>0</v>
      </c>
      <c r="CM35" s="5">
        <f t="shared" si="13"/>
        <v>220000</v>
      </c>
      <c r="CN35" s="2" t="s">
        <v>139</v>
      </c>
      <c r="CO35" s="13"/>
      <c r="CP35" s="2">
        <v>6000</v>
      </c>
      <c r="CQ35" s="2">
        <f t="shared" si="14"/>
        <v>0</v>
      </c>
      <c r="CR35" s="2" t="s">
        <v>139</v>
      </c>
      <c r="CS35" s="13"/>
      <c r="CT35" s="2">
        <v>6000</v>
      </c>
      <c r="CU35" s="2">
        <f t="shared" si="83"/>
        <v>0</v>
      </c>
      <c r="CV35" s="2" t="s">
        <v>139</v>
      </c>
      <c r="CW35" s="13"/>
      <c r="CX35" s="2">
        <v>6000</v>
      </c>
      <c r="CY35" s="2">
        <f t="shared" si="16"/>
        <v>0</v>
      </c>
      <c r="CZ35" s="2" t="s">
        <v>139</v>
      </c>
      <c r="DA35" s="13"/>
      <c r="DB35" s="2">
        <v>6000</v>
      </c>
      <c r="DC35" s="2">
        <f t="shared" si="17"/>
        <v>0</v>
      </c>
      <c r="DD35" s="2" t="s">
        <v>139</v>
      </c>
      <c r="DE35" s="13"/>
      <c r="DF35" s="2">
        <v>6000</v>
      </c>
      <c r="DG35" s="2">
        <f t="shared" si="18"/>
        <v>0</v>
      </c>
      <c r="DH35" s="2" t="s">
        <v>139</v>
      </c>
      <c r="DI35" s="13"/>
      <c r="DJ35" s="2">
        <v>6000</v>
      </c>
      <c r="DK35" s="2">
        <f t="shared" si="19"/>
        <v>0</v>
      </c>
      <c r="DL35" s="3" t="s">
        <v>125</v>
      </c>
      <c r="DM35" s="13"/>
      <c r="DN35" s="3">
        <v>6000</v>
      </c>
      <c r="DO35" s="2">
        <f t="shared" si="84"/>
        <v>0</v>
      </c>
      <c r="DP35" s="2" t="s">
        <v>139</v>
      </c>
      <c r="DQ35" s="13"/>
      <c r="DR35" s="3">
        <v>6000</v>
      </c>
      <c r="DS35" s="2">
        <f t="shared" si="21"/>
        <v>0</v>
      </c>
      <c r="DT35" s="6">
        <f t="shared" si="22"/>
        <v>0</v>
      </c>
      <c r="DU35" s="2" t="s">
        <v>157</v>
      </c>
      <c r="DV35" s="3">
        <f t="shared" si="46"/>
        <v>2000</v>
      </c>
      <c r="DW35" s="3">
        <f t="shared" si="47"/>
        <v>3000</v>
      </c>
      <c r="DX35" s="3">
        <f t="shared" si="23"/>
        <v>6000000</v>
      </c>
      <c r="DY35" s="3" t="s">
        <v>127</v>
      </c>
      <c r="DZ35" s="3">
        <f t="shared" si="48"/>
        <v>15</v>
      </c>
      <c r="EA35" s="2">
        <v>50000</v>
      </c>
      <c r="EB35" s="3">
        <f t="shared" si="24"/>
        <v>750000</v>
      </c>
      <c r="EC35" s="2" t="s">
        <v>127</v>
      </c>
      <c r="ED35" s="3">
        <f t="shared" si="49"/>
        <v>0</v>
      </c>
      <c r="EE35" s="3">
        <v>80000</v>
      </c>
      <c r="EF35" s="3">
        <f t="shared" si="25"/>
        <v>0</v>
      </c>
      <c r="EG35" s="2" t="s">
        <v>157</v>
      </c>
      <c r="EH35" s="3">
        <f t="shared" si="50"/>
        <v>300</v>
      </c>
      <c r="EI35" s="3">
        <v>6000</v>
      </c>
      <c r="EJ35" s="7">
        <f t="shared" si="26"/>
        <v>1800000</v>
      </c>
      <c r="EK35" s="2" t="s">
        <v>157</v>
      </c>
      <c r="EL35" s="13">
        <f t="shared" si="94"/>
        <v>0</v>
      </c>
      <c r="EM35" s="3">
        <v>3000</v>
      </c>
      <c r="EN35" s="3">
        <f t="shared" si="27"/>
        <v>0</v>
      </c>
      <c r="EO35" s="3" t="s">
        <v>126</v>
      </c>
      <c r="EP35" s="3">
        <f t="shared" si="52"/>
        <v>500</v>
      </c>
      <c r="EQ35" s="3">
        <v>1000</v>
      </c>
      <c r="ER35" s="7">
        <f t="shared" si="53"/>
        <v>500000</v>
      </c>
      <c r="ES35" s="3" t="s">
        <v>124</v>
      </c>
      <c r="ET35" s="2">
        <v>1</v>
      </c>
      <c r="EU35" s="3">
        <v>60000</v>
      </c>
      <c r="EV35" s="3">
        <f t="shared" si="28"/>
        <v>60000</v>
      </c>
      <c r="EW35" s="3" t="s">
        <v>124</v>
      </c>
      <c r="EX35" s="13"/>
      <c r="EY35" s="3">
        <v>60000</v>
      </c>
      <c r="EZ35" s="3">
        <f t="shared" si="29"/>
        <v>0</v>
      </c>
      <c r="FA35" s="2" t="s">
        <v>170</v>
      </c>
      <c r="FB35" s="13"/>
      <c r="FC35" s="3">
        <v>1000</v>
      </c>
      <c r="FD35" s="3">
        <f t="shared" si="30"/>
        <v>0</v>
      </c>
      <c r="FE35" s="3" t="s">
        <v>126</v>
      </c>
      <c r="FF35" s="3">
        <f t="shared" si="54"/>
        <v>0</v>
      </c>
      <c r="FG35" s="3">
        <v>6000</v>
      </c>
      <c r="FH35" s="3">
        <f t="shared" si="31"/>
        <v>0</v>
      </c>
      <c r="FI35" s="1">
        <f t="shared" si="32"/>
        <v>9110000</v>
      </c>
      <c r="FJ35" s="3" t="s">
        <v>139</v>
      </c>
      <c r="FK35" s="2">
        <v>40</v>
      </c>
      <c r="FL35" s="2">
        <v>6000</v>
      </c>
      <c r="FM35" s="3">
        <f t="shared" si="33"/>
        <v>240000</v>
      </c>
      <c r="FN35" s="3" t="s">
        <v>139</v>
      </c>
      <c r="FO35" s="13"/>
      <c r="FP35" s="3">
        <v>6000</v>
      </c>
      <c r="FQ35" s="3">
        <f t="shared" si="55"/>
        <v>0</v>
      </c>
      <c r="FR35" s="3" t="s">
        <v>139</v>
      </c>
      <c r="FS35" s="13"/>
      <c r="FT35" s="13">
        <v>6000</v>
      </c>
      <c r="FU35" s="3">
        <f t="shared" si="34"/>
        <v>0</v>
      </c>
      <c r="FV35" s="3" t="s">
        <v>139</v>
      </c>
      <c r="FW35" s="13"/>
      <c r="FX35" s="3">
        <v>8000</v>
      </c>
      <c r="FY35" s="3">
        <f t="shared" si="35"/>
        <v>0</v>
      </c>
      <c r="FZ35" s="3" t="s">
        <v>139</v>
      </c>
      <c r="GA35" s="3">
        <v>2</v>
      </c>
      <c r="GB35" s="3">
        <v>8000</v>
      </c>
      <c r="GC35" s="3">
        <f t="shared" si="36"/>
        <v>16000</v>
      </c>
      <c r="GD35" s="3" t="s">
        <v>139</v>
      </c>
      <c r="GE35" s="3">
        <v>10</v>
      </c>
      <c r="GF35" s="3">
        <v>10000</v>
      </c>
      <c r="GG35" s="3">
        <f t="shared" si="37"/>
        <v>100000</v>
      </c>
      <c r="GH35" s="3" t="s">
        <v>139</v>
      </c>
      <c r="GI35" s="13"/>
      <c r="GJ35" s="13"/>
      <c r="GK35" s="3">
        <f t="shared" si="38"/>
        <v>0</v>
      </c>
      <c r="GL35" s="92">
        <f t="shared" si="39"/>
        <v>356000</v>
      </c>
      <c r="GM35" s="8">
        <f t="shared" si="40"/>
        <v>9686000</v>
      </c>
      <c r="GN35" s="8">
        <f t="shared" si="41"/>
        <v>10000</v>
      </c>
      <c r="GO35" s="101">
        <v>4000</v>
      </c>
      <c r="GP35" s="8">
        <f t="shared" si="56"/>
        <v>40000000</v>
      </c>
      <c r="GQ35" s="8">
        <f t="shared" si="42"/>
        <v>80000000</v>
      </c>
      <c r="GR35" s="8">
        <f t="shared" si="43"/>
        <v>30314000</v>
      </c>
      <c r="GS35" s="8">
        <f t="shared" si="44"/>
        <v>70314000</v>
      </c>
      <c r="GT35" s="15" t="s">
        <v>1757</v>
      </c>
      <c r="GU35" s="47" t="s">
        <v>1756</v>
      </c>
    </row>
    <row r="36" spans="1:203" s="26" customFormat="1" ht="158.25" customHeight="1">
      <c r="A36" s="44">
        <v>37</v>
      </c>
      <c r="B36" s="22" t="s">
        <v>96</v>
      </c>
      <c r="C36" s="14" t="s">
        <v>449</v>
      </c>
      <c r="D36" s="14" t="s">
        <v>349</v>
      </c>
      <c r="E36" s="15" t="s">
        <v>879</v>
      </c>
      <c r="F36" s="15" t="s">
        <v>734</v>
      </c>
      <c r="G36" s="14" t="s">
        <v>450</v>
      </c>
      <c r="H36" s="14" t="s">
        <v>88</v>
      </c>
      <c r="I36" s="15" t="s">
        <v>350</v>
      </c>
      <c r="J36" s="15" t="s">
        <v>351</v>
      </c>
      <c r="K36" s="15" t="s">
        <v>352</v>
      </c>
      <c r="L36" s="15" t="s">
        <v>326</v>
      </c>
      <c r="M36" s="15" t="s">
        <v>353</v>
      </c>
      <c r="N36" s="15" t="s">
        <v>354</v>
      </c>
      <c r="O36" s="14" t="s">
        <v>97</v>
      </c>
      <c r="P36" s="15" t="s">
        <v>355</v>
      </c>
      <c r="Q36" s="13" t="s">
        <v>128</v>
      </c>
      <c r="R36" s="13">
        <v>200</v>
      </c>
      <c r="S36" s="13">
        <v>300</v>
      </c>
      <c r="T36" s="13">
        <v>70000</v>
      </c>
      <c r="U36" s="15">
        <v>90</v>
      </c>
      <c r="V36" s="15">
        <v>150</v>
      </c>
      <c r="W36" s="13" t="s">
        <v>356</v>
      </c>
      <c r="X36" s="13">
        <v>15</v>
      </c>
      <c r="Y36" s="13">
        <v>30</v>
      </c>
      <c r="Z36" s="13" t="s">
        <v>357</v>
      </c>
      <c r="AA36" s="14" t="s">
        <v>358</v>
      </c>
      <c r="AB36" s="14" t="s">
        <v>359</v>
      </c>
      <c r="AC36" s="3">
        <v>50000</v>
      </c>
      <c r="AD36" s="14">
        <v>0</v>
      </c>
      <c r="AE36" s="14">
        <v>10</v>
      </c>
      <c r="AF36" s="3">
        <v>80000</v>
      </c>
      <c r="AG36" s="3">
        <f t="shared" si="45"/>
        <v>800000</v>
      </c>
      <c r="AH36" s="13" t="s">
        <v>360</v>
      </c>
      <c r="AI36" s="13"/>
      <c r="AJ36" s="13">
        <v>1000</v>
      </c>
      <c r="AK36" s="13">
        <v>300</v>
      </c>
      <c r="AL36" s="13">
        <v>6000</v>
      </c>
      <c r="AM36" s="13">
        <v>100</v>
      </c>
      <c r="AN36" s="13">
        <v>3000</v>
      </c>
      <c r="AO36" s="13"/>
      <c r="AP36" s="13">
        <v>6000</v>
      </c>
      <c r="AQ36" s="2">
        <f t="shared" si="0"/>
        <v>2100000</v>
      </c>
      <c r="AR36" s="13" t="s">
        <v>361</v>
      </c>
      <c r="AS36" s="14" t="s">
        <v>98</v>
      </c>
      <c r="AT36" s="2" t="s">
        <v>139</v>
      </c>
      <c r="AU36" s="13"/>
      <c r="AV36" s="3">
        <v>6000</v>
      </c>
      <c r="AW36" s="2">
        <f t="shared" si="72"/>
        <v>0</v>
      </c>
      <c r="AX36" s="2" t="s">
        <v>139</v>
      </c>
      <c r="AY36" s="13"/>
      <c r="AZ36" s="3">
        <v>6000</v>
      </c>
      <c r="BA36" s="2">
        <f t="shared" si="2"/>
        <v>0</v>
      </c>
      <c r="BB36" s="2" t="s">
        <v>139</v>
      </c>
      <c r="BC36" s="13"/>
      <c r="BD36" s="3">
        <v>6000</v>
      </c>
      <c r="BE36" s="3">
        <f t="shared" si="3"/>
        <v>0</v>
      </c>
      <c r="BF36" s="3" t="s">
        <v>125</v>
      </c>
      <c r="BG36" s="13"/>
      <c r="BH36" s="3">
        <v>6000</v>
      </c>
      <c r="BI36" s="3">
        <f t="shared" si="85"/>
        <v>0</v>
      </c>
      <c r="BJ36" s="3" t="s">
        <v>126</v>
      </c>
      <c r="BK36" s="13"/>
      <c r="BL36" s="3">
        <v>1000</v>
      </c>
      <c r="BM36" s="3">
        <f t="shared" si="62"/>
        <v>0</v>
      </c>
      <c r="BN36" s="13" t="s">
        <v>20</v>
      </c>
      <c r="BO36" s="13"/>
      <c r="BP36" s="2">
        <v>3000</v>
      </c>
      <c r="BQ36" s="13"/>
      <c r="BR36" s="2" t="s">
        <v>126</v>
      </c>
      <c r="BS36" s="13"/>
      <c r="BT36" s="2">
        <f>6000</f>
        <v>6000</v>
      </c>
      <c r="BU36" s="3">
        <f t="shared" si="7"/>
        <v>0</v>
      </c>
      <c r="BV36" s="2" t="s">
        <v>126</v>
      </c>
      <c r="BW36" s="13"/>
      <c r="BX36" s="2">
        <v>6000</v>
      </c>
      <c r="BY36" s="3">
        <f t="shared" si="73"/>
        <v>0</v>
      </c>
      <c r="BZ36" s="92">
        <f t="shared" si="9"/>
        <v>0</v>
      </c>
      <c r="CA36" s="2" t="s">
        <v>139</v>
      </c>
      <c r="CB36" s="3">
        <v>5</v>
      </c>
      <c r="CC36" s="3">
        <v>8000</v>
      </c>
      <c r="CD36" s="3">
        <f t="shared" si="10"/>
        <v>40000</v>
      </c>
      <c r="CE36" s="2" t="s">
        <v>139</v>
      </c>
      <c r="CF36" s="2">
        <v>30</v>
      </c>
      <c r="CG36" s="2">
        <v>6000</v>
      </c>
      <c r="CH36" s="3">
        <f t="shared" si="11"/>
        <v>180000</v>
      </c>
      <c r="CI36" s="3" t="s">
        <v>139</v>
      </c>
      <c r="CJ36" s="3">
        <v>1</v>
      </c>
      <c r="CK36" s="13"/>
      <c r="CL36" s="3">
        <f t="shared" si="12"/>
        <v>0</v>
      </c>
      <c r="CM36" s="5">
        <f t="shared" si="13"/>
        <v>220000</v>
      </c>
      <c r="CN36" s="2" t="s">
        <v>139</v>
      </c>
      <c r="CO36" s="13"/>
      <c r="CP36" s="2">
        <v>6000</v>
      </c>
      <c r="CQ36" s="2">
        <f t="shared" si="14"/>
        <v>0</v>
      </c>
      <c r="CR36" s="2" t="s">
        <v>139</v>
      </c>
      <c r="CS36" s="13"/>
      <c r="CT36" s="2">
        <v>6000</v>
      </c>
      <c r="CU36" s="2">
        <f t="shared" si="83"/>
        <v>0</v>
      </c>
      <c r="CV36" s="2" t="s">
        <v>139</v>
      </c>
      <c r="CW36" s="13"/>
      <c r="CX36" s="2">
        <v>6000</v>
      </c>
      <c r="CY36" s="2">
        <f t="shared" si="16"/>
        <v>0</v>
      </c>
      <c r="CZ36" s="2" t="s">
        <v>139</v>
      </c>
      <c r="DA36" s="13"/>
      <c r="DB36" s="2">
        <v>6000</v>
      </c>
      <c r="DC36" s="2">
        <f t="shared" si="17"/>
        <v>0</v>
      </c>
      <c r="DD36" s="2" t="s">
        <v>139</v>
      </c>
      <c r="DE36" s="13"/>
      <c r="DF36" s="2">
        <v>6000</v>
      </c>
      <c r="DG36" s="2">
        <f t="shared" si="18"/>
        <v>0</v>
      </c>
      <c r="DH36" s="2" t="s">
        <v>139</v>
      </c>
      <c r="DI36" s="13"/>
      <c r="DJ36" s="2">
        <v>6000</v>
      </c>
      <c r="DK36" s="2">
        <f t="shared" si="19"/>
        <v>0</v>
      </c>
      <c r="DL36" s="3" t="s">
        <v>125</v>
      </c>
      <c r="DM36" s="13"/>
      <c r="DN36" s="3">
        <v>6000</v>
      </c>
      <c r="DO36" s="2">
        <f t="shared" si="84"/>
        <v>0</v>
      </c>
      <c r="DP36" s="2" t="s">
        <v>139</v>
      </c>
      <c r="DQ36" s="13"/>
      <c r="DR36" s="3">
        <v>6000</v>
      </c>
      <c r="DS36" s="2">
        <f t="shared" si="21"/>
        <v>0</v>
      </c>
      <c r="DT36" s="6">
        <f t="shared" si="22"/>
        <v>0</v>
      </c>
      <c r="DU36" s="2" t="s">
        <v>157</v>
      </c>
      <c r="DV36" s="3">
        <f t="shared" si="46"/>
        <v>200</v>
      </c>
      <c r="DW36" s="3">
        <f t="shared" si="47"/>
        <v>70000</v>
      </c>
      <c r="DX36" s="3">
        <f t="shared" si="23"/>
        <v>14000000</v>
      </c>
      <c r="DY36" s="3" t="s">
        <v>127</v>
      </c>
      <c r="DZ36" s="3">
        <f t="shared" si="48"/>
        <v>0</v>
      </c>
      <c r="EA36" s="2">
        <v>50000</v>
      </c>
      <c r="EB36" s="3">
        <f t="shared" si="24"/>
        <v>0</v>
      </c>
      <c r="EC36" s="2" t="s">
        <v>127</v>
      </c>
      <c r="ED36" s="3">
        <f t="shared" si="49"/>
        <v>10</v>
      </c>
      <c r="EE36" s="3">
        <v>80000</v>
      </c>
      <c r="EF36" s="3">
        <f t="shared" si="25"/>
        <v>800000</v>
      </c>
      <c r="EG36" s="2" t="s">
        <v>157</v>
      </c>
      <c r="EH36" s="3">
        <f t="shared" si="50"/>
        <v>300</v>
      </c>
      <c r="EI36" s="3">
        <v>6000</v>
      </c>
      <c r="EJ36" s="7">
        <f t="shared" si="26"/>
        <v>1800000</v>
      </c>
      <c r="EK36" s="2" t="s">
        <v>157</v>
      </c>
      <c r="EL36" s="13">
        <f t="shared" si="94"/>
        <v>100</v>
      </c>
      <c r="EM36" s="3">
        <v>3000</v>
      </c>
      <c r="EN36" s="3">
        <f t="shared" si="27"/>
        <v>300000</v>
      </c>
      <c r="EO36" s="3" t="s">
        <v>126</v>
      </c>
      <c r="EP36" s="3">
        <f t="shared" si="52"/>
        <v>0</v>
      </c>
      <c r="EQ36" s="3">
        <v>1000</v>
      </c>
      <c r="ER36" s="7">
        <f t="shared" si="53"/>
        <v>0</v>
      </c>
      <c r="ES36" s="3" t="s">
        <v>124</v>
      </c>
      <c r="ET36" s="2">
        <v>1</v>
      </c>
      <c r="EU36" s="3">
        <v>60000</v>
      </c>
      <c r="EV36" s="3">
        <f t="shared" si="28"/>
        <v>60000</v>
      </c>
      <c r="EW36" s="3" t="s">
        <v>124</v>
      </c>
      <c r="EX36" s="13"/>
      <c r="EY36" s="3">
        <v>60000</v>
      </c>
      <c r="EZ36" s="3">
        <f t="shared" si="29"/>
        <v>0</v>
      </c>
      <c r="FA36" s="2" t="s">
        <v>170</v>
      </c>
      <c r="FB36" s="13"/>
      <c r="FC36" s="3">
        <v>1000</v>
      </c>
      <c r="FD36" s="3">
        <f t="shared" si="30"/>
        <v>0</v>
      </c>
      <c r="FE36" s="3" t="s">
        <v>126</v>
      </c>
      <c r="FF36" s="3">
        <f t="shared" si="54"/>
        <v>0</v>
      </c>
      <c r="FG36" s="3">
        <v>6000</v>
      </c>
      <c r="FH36" s="3">
        <f t="shared" si="31"/>
        <v>0</v>
      </c>
      <c r="FI36" s="1">
        <f t="shared" si="32"/>
        <v>16960000</v>
      </c>
      <c r="FJ36" s="3" t="s">
        <v>139</v>
      </c>
      <c r="FK36" s="2">
        <v>40</v>
      </c>
      <c r="FL36" s="2">
        <v>6000</v>
      </c>
      <c r="FM36" s="3">
        <f t="shared" si="33"/>
        <v>240000</v>
      </c>
      <c r="FN36" s="3" t="s">
        <v>139</v>
      </c>
      <c r="FO36" s="13"/>
      <c r="FP36" s="3">
        <v>6000</v>
      </c>
      <c r="FQ36" s="3">
        <f t="shared" si="55"/>
        <v>0</v>
      </c>
      <c r="FR36" s="3" t="s">
        <v>139</v>
      </c>
      <c r="FS36" s="13"/>
      <c r="FT36" s="13">
        <v>6000</v>
      </c>
      <c r="FU36" s="3">
        <f t="shared" si="34"/>
        <v>0</v>
      </c>
      <c r="FV36" s="3" t="s">
        <v>139</v>
      </c>
      <c r="FW36" s="13"/>
      <c r="FX36" s="3">
        <v>8000</v>
      </c>
      <c r="FY36" s="3">
        <f t="shared" si="35"/>
        <v>0</v>
      </c>
      <c r="FZ36" s="3" t="s">
        <v>139</v>
      </c>
      <c r="GA36" s="3">
        <v>2</v>
      </c>
      <c r="GB36" s="3">
        <v>8000</v>
      </c>
      <c r="GC36" s="3">
        <f t="shared" si="36"/>
        <v>16000</v>
      </c>
      <c r="GD36" s="3" t="s">
        <v>139</v>
      </c>
      <c r="GE36" s="3">
        <v>10</v>
      </c>
      <c r="GF36" s="3">
        <v>10000</v>
      </c>
      <c r="GG36" s="3">
        <f t="shared" si="37"/>
        <v>100000</v>
      </c>
      <c r="GH36" s="3" t="s">
        <v>139</v>
      </c>
      <c r="GI36" s="13"/>
      <c r="GJ36" s="13"/>
      <c r="GK36" s="3">
        <f t="shared" si="38"/>
        <v>0</v>
      </c>
      <c r="GL36" s="92">
        <f t="shared" si="39"/>
        <v>356000</v>
      </c>
      <c r="GM36" s="8">
        <f t="shared" si="40"/>
        <v>17536000</v>
      </c>
      <c r="GN36" s="8">
        <f t="shared" si="41"/>
        <v>15000</v>
      </c>
      <c r="GO36" s="101">
        <v>2500</v>
      </c>
      <c r="GP36" s="8">
        <f t="shared" si="56"/>
        <v>37500000</v>
      </c>
      <c r="GQ36" s="8">
        <f t="shared" si="42"/>
        <v>75000000</v>
      </c>
      <c r="GR36" s="8">
        <f t="shared" si="43"/>
        <v>19964000</v>
      </c>
      <c r="GS36" s="8">
        <f t="shared" si="44"/>
        <v>57464000</v>
      </c>
      <c r="GT36" s="15" t="s">
        <v>1759</v>
      </c>
      <c r="GU36" s="47" t="s">
        <v>1758</v>
      </c>
    </row>
    <row r="37" spans="1:203" s="26" customFormat="1" ht="158.25" customHeight="1">
      <c r="A37" s="44">
        <v>38</v>
      </c>
      <c r="B37" s="23" t="s">
        <v>39</v>
      </c>
      <c r="C37" s="15" t="s">
        <v>473</v>
      </c>
      <c r="D37" s="13" t="s">
        <v>536</v>
      </c>
      <c r="E37" s="15" t="s">
        <v>735</v>
      </c>
      <c r="F37" s="15" t="s">
        <v>735</v>
      </c>
      <c r="G37" s="13" t="s">
        <v>474</v>
      </c>
      <c r="H37" s="13" t="s">
        <v>315</v>
      </c>
      <c r="I37" s="13" t="s">
        <v>688</v>
      </c>
      <c r="J37" s="13" t="s">
        <v>40</v>
      </c>
      <c r="K37" s="13" t="s">
        <v>41</v>
      </c>
      <c r="L37" s="13" t="s">
        <v>475</v>
      </c>
      <c r="M37" s="13" t="s">
        <v>476</v>
      </c>
      <c r="N37" s="13" t="s">
        <v>42</v>
      </c>
      <c r="O37" s="13" t="s">
        <v>43</v>
      </c>
      <c r="P37" s="13" t="s">
        <v>477</v>
      </c>
      <c r="Q37" s="15" t="s">
        <v>466</v>
      </c>
      <c r="R37" s="15">
        <v>1700</v>
      </c>
      <c r="S37" s="15">
        <v>2200</v>
      </c>
      <c r="T37" s="15">
        <v>1000</v>
      </c>
      <c r="U37" s="15">
        <v>270</v>
      </c>
      <c r="V37" s="15">
        <v>360</v>
      </c>
      <c r="W37" s="15" t="s">
        <v>478</v>
      </c>
      <c r="X37" s="15">
        <v>8</v>
      </c>
      <c r="Y37" s="15">
        <v>20</v>
      </c>
      <c r="Z37" s="15" t="s">
        <v>479</v>
      </c>
      <c r="AA37" s="15" t="s">
        <v>480</v>
      </c>
      <c r="AB37" s="15" t="s">
        <v>481</v>
      </c>
      <c r="AC37" s="3">
        <v>50000</v>
      </c>
      <c r="AD37" s="15">
        <v>30</v>
      </c>
      <c r="AE37" s="32"/>
      <c r="AF37" s="3">
        <v>80000</v>
      </c>
      <c r="AG37" s="3">
        <f t="shared" si="45"/>
        <v>1500000</v>
      </c>
      <c r="AH37" s="15" t="s">
        <v>482</v>
      </c>
      <c r="AI37" s="13"/>
      <c r="AJ37" s="13">
        <v>1000</v>
      </c>
      <c r="AK37" s="13"/>
      <c r="AL37" s="13">
        <v>6000</v>
      </c>
      <c r="AM37" s="15">
        <v>200</v>
      </c>
      <c r="AN37" s="13">
        <v>3000</v>
      </c>
      <c r="AO37" s="13"/>
      <c r="AP37" s="13">
        <v>6000</v>
      </c>
      <c r="AQ37" s="2">
        <f t="shared" si="0"/>
        <v>600000</v>
      </c>
      <c r="AR37" s="15" t="s">
        <v>483</v>
      </c>
      <c r="AS37" s="15" t="s">
        <v>484</v>
      </c>
      <c r="AT37" s="2" t="s">
        <v>139</v>
      </c>
      <c r="AU37" s="13"/>
      <c r="AV37" s="3">
        <v>6000</v>
      </c>
      <c r="AW37" s="2">
        <f t="shared" si="72"/>
        <v>0</v>
      </c>
      <c r="AX37" s="2" t="s">
        <v>139</v>
      </c>
      <c r="AY37" s="13"/>
      <c r="AZ37" s="3">
        <v>6000</v>
      </c>
      <c r="BA37" s="2">
        <f t="shared" si="2"/>
        <v>0</v>
      </c>
      <c r="BB37" s="2" t="s">
        <v>139</v>
      </c>
      <c r="BC37" s="13"/>
      <c r="BD37" s="3">
        <v>6000</v>
      </c>
      <c r="BE37" s="3">
        <f t="shared" si="3"/>
        <v>0</v>
      </c>
      <c r="BF37" s="3" t="s">
        <v>125</v>
      </c>
      <c r="BG37" s="13"/>
      <c r="BH37" s="3">
        <v>6000</v>
      </c>
      <c r="BI37" s="3">
        <f t="shared" si="85"/>
        <v>0</v>
      </c>
      <c r="BJ37" s="3" t="s">
        <v>126</v>
      </c>
      <c r="BK37" s="13"/>
      <c r="BL37" s="3">
        <v>1000</v>
      </c>
      <c r="BM37" s="3">
        <f t="shared" si="62"/>
        <v>0</v>
      </c>
      <c r="BN37" s="13" t="s">
        <v>20</v>
      </c>
      <c r="BO37" s="13"/>
      <c r="BP37" s="2">
        <v>3000</v>
      </c>
      <c r="BQ37" s="13"/>
      <c r="BR37" s="2" t="s">
        <v>126</v>
      </c>
      <c r="BS37" s="13"/>
      <c r="BT37" s="2">
        <f>6000</f>
        <v>6000</v>
      </c>
      <c r="BU37" s="3">
        <f t="shared" si="7"/>
        <v>0</v>
      </c>
      <c r="BV37" s="2" t="s">
        <v>126</v>
      </c>
      <c r="BW37" s="13"/>
      <c r="BX37" s="2">
        <v>6000</v>
      </c>
      <c r="BY37" s="3">
        <f t="shared" ref="BY37:BY46" si="116">BW37*BX37</f>
        <v>0</v>
      </c>
      <c r="BZ37" s="92">
        <f t="shared" si="9"/>
        <v>0</v>
      </c>
      <c r="CA37" s="2" t="s">
        <v>139</v>
      </c>
      <c r="CB37" s="3">
        <v>5</v>
      </c>
      <c r="CC37" s="3">
        <v>8000</v>
      </c>
      <c r="CD37" s="3">
        <f t="shared" si="10"/>
        <v>40000</v>
      </c>
      <c r="CE37" s="2" t="s">
        <v>139</v>
      </c>
      <c r="CF37" s="2">
        <v>30</v>
      </c>
      <c r="CG37" s="2">
        <v>6000</v>
      </c>
      <c r="CH37" s="3">
        <f t="shared" si="11"/>
        <v>180000</v>
      </c>
      <c r="CI37" s="3" t="s">
        <v>139</v>
      </c>
      <c r="CJ37" s="3">
        <v>1</v>
      </c>
      <c r="CK37" s="13"/>
      <c r="CL37" s="3">
        <f t="shared" si="12"/>
        <v>0</v>
      </c>
      <c r="CM37" s="5">
        <f t="shared" si="13"/>
        <v>220000</v>
      </c>
      <c r="CN37" s="2" t="s">
        <v>139</v>
      </c>
      <c r="CO37" s="13"/>
      <c r="CP37" s="2">
        <v>6000</v>
      </c>
      <c r="CQ37" s="2">
        <f t="shared" ref="CQ37:CQ46" si="117">CO37*CP37</f>
        <v>0</v>
      </c>
      <c r="CR37" s="2" t="s">
        <v>139</v>
      </c>
      <c r="CS37" s="13"/>
      <c r="CT37" s="2">
        <v>6000</v>
      </c>
      <c r="CU37" s="2">
        <f t="shared" ref="CU37:CU46" si="118">CS37*CT37</f>
        <v>0</v>
      </c>
      <c r="CV37" s="2" t="s">
        <v>139</v>
      </c>
      <c r="CW37" s="13"/>
      <c r="CX37" s="2">
        <v>6000</v>
      </c>
      <c r="CY37" s="2">
        <f t="shared" ref="CY37:CY46" si="119">CW37*CX37</f>
        <v>0</v>
      </c>
      <c r="CZ37" s="2" t="s">
        <v>139</v>
      </c>
      <c r="DA37" s="13"/>
      <c r="DB37" s="2">
        <v>6000</v>
      </c>
      <c r="DC37" s="2">
        <f t="shared" ref="DC37:DC46" si="120">DA37*DB37</f>
        <v>0</v>
      </c>
      <c r="DD37" s="2" t="s">
        <v>139</v>
      </c>
      <c r="DE37" s="13"/>
      <c r="DF37" s="2">
        <v>6000</v>
      </c>
      <c r="DG37" s="2">
        <f t="shared" ref="DG37:DG88" si="121">DE37*DF37</f>
        <v>0</v>
      </c>
      <c r="DH37" s="2" t="s">
        <v>139</v>
      </c>
      <c r="DI37" s="13"/>
      <c r="DJ37" s="2">
        <v>6000</v>
      </c>
      <c r="DK37" s="2">
        <f t="shared" ref="DK37:DK46" si="122">DI37*DJ37</f>
        <v>0</v>
      </c>
      <c r="DL37" s="3" t="s">
        <v>125</v>
      </c>
      <c r="DM37" s="13"/>
      <c r="DN37" s="3">
        <v>6000</v>
      </c>
      <c r="DO37" s="2">
        <f t="shared" ref="DO37:DO46" si="123">DM37*DN37</f>
        <v>0</v>
      </c>
      <c r="DP37" s="2" t="s">
        <v>139</v>
      </c>
      <c r="DQ37" s="13"/>
      <c r="DR37" s="3">
        <v>6000</v>
      </c>
      <c r="DS37" s="2">
        <f t="shared" si="21"/>
        <v>0</v>
      </c>
      <c r="DT37" s="6">
        <f t="shared" si="22"/>
        <v>0</v>
      </c>
      <c r="DU37" s="2" t="s">
        <v>157</v>
      </c>
      <c r="DV37" s="3">
        <f t="shared" si="46"/>
        <v>1700</v>
      </c>
      <c r="DW37" s="3">
        <f t="shared" si="47"/>
        <v>1000</v>
      </c>
      <c r="DX37" s="3">
        <f t="shared" si="23"/>
        <v>1700000</v>
      </c>
      <c r="DY37" s="3" t="s">
        <v>127</v>
      </c>
      <c r="DZ37" s="3">
        <f t="shared" si="48"/>
        <v>30</v>
      </c>
      <c r="EA37" s="2">
        <v>50000</v>
      </c>
      <c r="EB37" s="3">
        <f t="shared" si="24"/>
        <v>1500000</v>
      </c>
      <c r="EC37" s="2" t="s">
        <v>127</v>
      </c>
      <c r="ED37" s="3">
        <f t="shared" si="49"/>
        <v>0</v>
      </c>
      <c r="EE37" s="3">
        <v>80000</v>
      </c>
      <c r="EF37" s="3">
        <f t="shared" si="25"/>
        <v>0</v>
      </c>
      <c r="EG37" s="2" t="s">
        <v>157</v>
      </c>
      <c r="EH37" s="3">
        <f t="shared" si="50"/>
        <v>0</v>
      </c>
      <c r="EI37" s="3">
        <v>6000</v>
      </c>
      <c r="EJ37" s="7">
        <f t="shared" ref="EJ37:EJ94" si="124">EH37*EI37</f>
        <v>0</v>
      </c>
      <c r="EK37" s="2" t="s">
        <v>157</v>
      </c>
      <c r="EL37" s="13">
        <f t="shared" ref="EL37:EL42" si="125">AM37</f>
        <v>200</v>
      </c>
      <c r="EM37" s="3">
        <v>3000</v>
      </c>
      <c r="EN37" s="3">
        <f t="shared" si="27"/>
        <v>600000</v>
      </c>
      <c r="EO37" s="3" t="s">
        <v>126</v>
      </c>
      <c r="EP37" s="3">
        <f t="shared" si="52"/>
        <v>0</v>
      </c>
      <c r="EQ37" s="3">
        <v>1000</v>
      </c>
      <c r="ER37" s="7">
        <f t="shared" si="53"/>
        <v>0</v>
      </c>
      <c r="ES37" s="3" t="s">
        <v>124</v>
      </c>
      <c r="ET37" s="2">
        <v>1</v>
      </c>
      <c r="EU37" s="3">
        <v>60000</v>
      </c>
      <c r="EV37" s="3">
        <f t="shared" si="28"/>
        <v>60000</v>
      </c>
      <c r="EW37" s="3" t="s">
        <v>124</v>
      </c>
      <c r="EX37" s="13"/>
      <c r="EY37" s="3">
        <v>60000</v>
      </c>
      <c r="EZ37" s="3">
        <f t="shared" si="29"/>
        <v>0</v>
      </c>
      <c r="FA37" s="2" t="s">
        <v>170</v>
      </c>
      <c r="FB37" s="13"/>
      <c r="FC37" s="3">
        <v>1000</v>
      </c>
      <c r="FD37" s="3">
        <f t="shared" si="30"/>
        <v>0</v>
      </c>
      <c r="FE37" s="3" t="s">
        <v>126</v>
      </c>
      <c r="FF37" s="3">
        <f t="shared" si="54"/>
        <v>0</v>
      </c>
      <c r="FG37" s="3">
        <v>6000</v>
      </c>
      <c r="FH37" s="3">
        <f t="shared" si="31"/>
        <v>0</v>
      </c>
      <c r="FI37" s="1">
        <f t="shared" si="32"/>
        <v>3860000</v>
      </c>
      <c r="FJ37" s="3" t="s">
        <v>139</v>
      </c>
      <c r="FK37" s="2">
        <v>40</v>
      </c>
      <c r="FL37" s="2">
        <v>6000</v>
      </c>
      <c r="FM37" s="3">
        <f t="shared" si="33"/>
        <v>240000</v>
      </c>
      <c r="FN37" s="3" t="s">
        <v>139</v>
      </c>
      <c r="FO37" s="13"/>
      <c r="FP37" s="3">
        <v>6000</v>
      </c>
      <c r="FQ37" s="3">
        <f t="shared" si="55"/>
        <v>0</v>
      </c>
      <c r="FR37" s="3" t="s">
        <v>139</v>
      </c>
      <c r="FS37" s="13"/>
      <c r="FT37" s="13">
        <v>6000</v>
      </c>
      <c r="FU37" s="3">
        <f t="shared" si="34"/>
        <v>0</v>
      </c>
      <c r="FV37" s="3" t="s">
        <v>139</v>
      </c>
      <c r="FW37" s="13"/>
      <c r="FX37" s="3">
        <v>8000</v>
      </c>
      <c r="FY37" s="3">
        <f t="shared" si="35"/>
        <v>0</v>
      </c>
      <c r="FZ37" s="3" t="s">
        <v>139</v>
      </c>
      <c r="GA37" s="3">
        <v>2</v>
      </c>
      <c r="GB37" s="3">
        <v>8000</v>
      </c>
      <c r="GC37" s="3">
        <f t="shared" si="36"/>
        <v>16000</v>
      </c>
      <c r="GD37" s="3" t="s">
        <v>139</v>
      </c>
      <c r="GE37" s="3">
        <v>10</v>
      </c>
      <c r="GF37" s="3">
        <v>10000</v>
      </c>
      <c r="GG37" s="3">
        <f t="shared" si="37"/>
        <v>100000</v>
      </c>
      <c r="GH37" s="3" t="s">
        <v>139</v>
      </c>
      <c r="GI37" s="13"/>
      <c r="GJ37" s="13"/>
      <c r="GK37" s="3">
        <f t="shared" si="38"/>
        <v>0</v>
      </c>
      <c r="GL37" s="92">
        <f t="shared" si="39"/>
        <v>356000</v>
      </c>
      <c r="GM37" s="8">
        <f t="shared" si="40"/>
        <v>4436000</v>
      </c>
      <c r="GN37" s="8">
        <f t="shared" si="41"/>
        <v>8000</v>
      </c>
      <c r="GO37" s="101">
        <v>1500</v>
      </c>
      <c r="GP37" s="8">
        <f t="shared" si="56"/>
        <v>12000000</v>
      </c>
      <c r="GQ37" s="8">
        <f t="shared" si="42"/>
        <v>30000000</v>
      </c>
      <c r="GR37" s="8">
        <f t="shared" si="43"/>
        <v>7564000</v>
      </c>
      <c r="GS37" s="8">
        <f t="shared" si="44"/>
        <v>25564000</v>
      </c>
      <c r="GT37" s="15" t="s">
        <v>1776</v>
      </c>
      <c r="GU37" s="47" t="s">
        <v>1760</v>
      </c>
    </row>
    <row r="38" spans="1:203" s="28" customFormat="1" ht="158.25" customHeight="1">
      <c r="A38" s="44">
        <v>39</v>
      </c>
      <c r="B38" s="22" t="s">
        <v>39</v>
      </c>
      <c r="C38" s="15" t="s">
        <v>538</v>
      </c>
      <c r="D38" s="14" t="s">
        <v>314</v>
      </c>
      <c r="E38" s="15" t="s">
        <v>880</v>
      </c>
      <c r="F38" s="15" t="s">
        <v>736</v>
      </c>
      <c r="G38" s="14" t="s">
        <v>539</v>
      </c>
      <c r="H38" s="14" t="s">
        <v>315</v>
      </c>
      <c r="I38" s="15" t="s">
        <v>540</v>
      </c>
      <c r="J38" s="14" t="s">
        <v>541</v>
      </c>
      <c r="K38" s="15" t="s">
        <v>542</v>
      </c>
      <c r="L38" s="15" t="s">
        <v>543</v>
      </c>
      <c r="M38" s="15" t="s">
        <v>544</v>
      </c>
      <c r="N38" s="15" t="s">
        <v>545</v>
      </c>
      <c r="O38" s="13" t="s">
        <v>465</v>
      </c>
      <c r="P38" s="15" t="s">
        <v>546</v>
      </c>
      <c r="Q38" s="15" t="s">
        <v>547</v>
      </c>
      <c r="R38" s="15">
        <v>2000</v>
      </c>
      <c r="S38" s="15">
        <v>2500</v>
      </c>
      <c r="T38" s="15">
        <v>1000</v>
      </c>
      <c r="U38" s="15">
        <v>270</v>
      </c>
      <c r="V38" s="29">
        <v>420</v>
      </c>
      <c r="W38" s="15" t="s">
        <v>548</v>
      </c>
      <c r="X38" s="29">
        <v>10</v>
      </c>
      <c r="Y38" s="15">
        <v>25</v>
      </c>
      <c r="Z38" s="15" t="s">
        <v>549</v>
      </c>
      <c r="AA38" s="15" t="s">
        <v>550</v>
      </c>
      <c r="AB38" s="15" t="s">
        <v>551</v>
      </c>
      <c r="AC38" s="3">
        <v>50000</v>
      </c>
      <c r="AD38" s="15">
        <v>15</v>
      </c>
      <c r="AE38" s="14"/>
      <c r="AF38" s="3">
        <v>80000</v>
      </c>
      <c r="AG38" s="3">
        <f t="shared" si="45"/>
        <v>750000</v>
      </c>
      <c r="AH38" s="15" t="s">
        <v>552</v>
      </c>
      <c r="AI38" s="14">
        <v>2000</v>
      </c>
      <c r="AJ38" s="13">
        <v>1000</v>
      </c>
      <c r="AK38" s="27">
        <v>300</v>
      </c>
      <c r="AL38" s="13">
        <v>6000</v>
      </c>
      <c r="AM38" s="14">
        <v>100</v>
      </c>
      <c r="AN38" s="13">
        <v>3000</v>
      </c>
      <c r="AO38" s="27"/>
      <c r="AP38" s="13">
        <v>6000</v>
      </c>
      <c r="AQ38" s="2">
        <f t="shared" si="0"/>
        <v>4100000</v>
      </c>
      <c r="AR38" s="29" t="s">
        <v>553</v>
      </c>
      <c r="AS38" s="29" t="s">
        <v>554</v>
      </c>
      <c r="AT38" s="2" t="s">
        <v>139</v>
      </c>
      <c r="AU38" s="14"/>
      <c r="AV38" s="3">
        <v>6000</v>
      </c>
      <c r="AW38" s="2">
        <f t="shared" si="72"/>
        <v>0</v>
      </c>
      <c r="AX38" s="2" t="s">
        <v>139</v>
      </c>
      <c r="AY38" s="14"/>
      <c r="AZ38" s="3">
        <v>6000</v>
      </c>
      <c r="BA38" s="2">
        <f t="shared" si="2"/>
        <v>0</v>
      </c>
      <c r="BB38" s="2" t="s">
        <v>139</v>
      </c>
      <c r="BC38" s="14"/>
      <c r="BD38" s="3">
        <v>6000</v>
      </c>
      <c r="BE38" s="3">
        <f t="shared" si="3"/>
        <v>0</v>
      </c>
      <c r="BF38" s="3" t="s">
        <v>125</v>
      </c>
      <c r="BG38" s="14"/>
      <c r="BH38" s="3">
        <v>6000</v>
      </c>
      <c r="BI38" s="3">
        <f t="shared" si="85"/>
        <v>0</v>
      </c>
      <c r="BJ38" s="3" t="s">
        <v>126</v>
      </c>
      <c r="BK38" s="14"/>
      <c r="BL38" s="3">
        <v>1000</v>
      </c>
      <c r="BM38" s="3">
        <f t="shared" si="62"/>
        <v>0</v>
      </c>
      <c r="BN38" s="13" t="s">
        <v>20</v>
      </c>
      <c r="BO38" s="14"/>
      <c r="BP38" s="2">
        <v>3000</v>
      </c>
      <c r="BQ38" s="14"/>
      <c r="BR38" s="2" t="s">
        <v>126</v>
      </c>
      <c r="BS38" s="14"/>
      <c r="BT38" s="2">
        <f>6000</f>
        <v>6000</v>
      </c>
      <c r="BU38" s="3">
        <f t="shared" si="7"/>
        <v>0</v>
      </c>
      <c r="BV38" s="2" t="s">
        <v>126</v>
      </c>
      <c r="BW38" s="14"/>
      <c r="BX38" s="2">
        <v>6000</v>
      </c>
      <c r="BY38" s="3">
        <f t="shared" si="116"/>
        <v>0</v>
      </c>
      <c r="BZ38" s="92">
        <f t="shared" si="9"/>
        <v>0</v>
      </c>
      <c r="CA38" s="2" t="s">
        <v>139</v>
      </c>
      <c r="CB38" s="3">
        <v>5</v>
      </c>
      <c r="CC38" s="3">
        <v>8000</v>
      </c>
      <c r="CD38" s="3">
        <f t="shared" si="10"/>
        <v>40000</v>
      </c>
      <c r="CE38" s="2" t="s">
        <v>139</v>
      </c>
      <c r="CF38" s="2">
        <v>30</v>
      </c>
      <c r="CG38" s="2">
        <v>6000</v>
      </c>
      <c r="CH38" s="3">
        <f t="shared" si="11"/>
        <v>180000</v>
      </c>
      <c r="CI38" s="3" t="s">
        <v>139</v>
      </c>
      <c r="CJ38" s="3">
        <v>1</v>
      </c>
      <c r="CK38" s="14"/>
      <c r="CL38" s="3">
        <f t="shared" si="12"/>
        <v>0</v>
      </c>
      <c r="CM38" s="5">
        <f t="shared" si="13"/>
        <v>220000</v>
      </c>
      <c r="CN38" s="2" t="s">
        <v>139</v>
      </c>
      <c r="CO38" s="14"/>
      <c r="CP38" s="2">
        <v>6000</v>
      </c>
      <c r="CQ38" s="2">
        <f t="shared" si="117"/>
        <v>0</v>
      </c>
      <c r="CR38" s="2" t="s">
        <v>139</v>
      </c>
      <c r="CS38" s="14"/>
      <c r="CT38" s="2">
        <v>6000</v>
      </c>
      <c r="CU38" s="2">
        <f t="shared" si="118"/>
        <v>0</v>
      </c>
      <c r="CV38" s="2" t="s">
        <v>139</v>
      </c>
      <c r="CW38" s="14"/>
      <c r="CX38" s="2">
        <v>6000</v>
      </c>
      <c r="CY38" s="2">
        <f t="shared" si="119"/>
        <v>0</v>
      </c>
      <c r="CZ38" s="2" t="s">
        <v>139</v>
      </c>
      <c r="DA38" s="14"/>
      <c r="DB38" s="2">
        <v>6000</v>
      </c>
      <c r="DC38" s="2">
        <f t="shared" si="120"/>
        <v>0</v>
      </c>
      <c r="DD38" s="2" t="s">
        <v>139</v>
      </c>
      <c r="DE38" s="14"/>
      <c r="DF38" s="2">
        <v>6000</v>
      </c>
      <c r="DG38" s="2">
        <f t="shared" si="121"/>
        <v>0</v>
      </c>
      <c r="DH38" s="2" t="s">
        <v>139</v>
      </c>
      <c r="DI38" s="14"/>
      <c r="DJ38" s="2">
        <v>6000</v>
      </c>
      <c r="DK38" s="2">
        <f t="shared" si="122"/>
        <v>0</v>
      </c>
      <c r="DL38" s="3" t="s">
        <v>125</v>
      </c>
      <c r="DM38" s="14"/>
      <c r="DN38" s="3">
        <v>6000</v>
      </c>
      <c r="DO38" s="2">
        <f t="shared" si="123"/>
        <v>0</v>
      </c>
      <c r="DP38" s="2" t="s">
        <v>139</v>
      </c>
      <c r="DQ38" s="14"/>
      <c r="DR38" s="3">
        <v>6000</v>
      </c>
      <c r="DS38" s="2">
        <f t="shared" si="21"/>
        <v>0</v>
      </c>
      <c r="DT38" s="6">
        <f t="shared" si="22"/>
        <v>0</v>
      </c>
      <c r="DU38" s="2" t="s">
        <v>157</v>
      </c>
      <c r="DV38" s="3">
        <f t="shared" si="46"/>
        <v>2000</v>
      </c>
      <c r="DW38" s="3">
        <f t="shared" si="47"/>
        <v>1000</v>
      </c>
      <c r="DX38" s="3">
        <f t="shared" si="23"/>
        <v>2000000</v>
      </c>
      <c r="DY38" s="3" t="s">
        <v>127</v>
      </c>
      <c r="DZ38" s="3">
        <f t="shared" si="48"/>
        <v>15</v>
      </c>
      <c r="EA38" s="2">
        <v>50000</v>
      </c>
      <c r="EB38" s="3">
        <f t="shared" si="24"/>
        <v>750000</v>
      </c>
      <c r="EC38" s="2" t="s">
        <v>127</v>
      </c>
      <c r="ED38" s="3">
        <f t="shared" si="49"/>
        <v>0</v>
      </c>
      <c r="EE38" s="3">
        <v>80000</v>
      </c>
      <c r="EF38" s="3">
        <f t="shared" si="25"/>
        <v>0</v>
      </c>
      <c r="EG38" s="2" t="s">
        <v>157</v>
      </c>
      <c r="EH38" s="3">
        <f t="shared" si="50"/>
        <v>300</v>
      </c>
      <c r="EI38" s="3">
        <v>6000</v>
      </c>
      <c r="EJ38" s="7">
        <f t="shared" si="124"/>
        <v>1800000</v>
      </c>
      <c r="EK38" s="2" t="s">
        <v>157</v>
      </c>
      <c r="EL38" s="13">
        <f t="shared" si="125"/>
        <v>100</v>
      </c>
      <c r="EM38" s="3">
        <v>3000</v>
      </c>
      <c r="EN38" s="3">
        <f t="shared" si="27"/>
        <v>300000</v>
      </c>
      <c r="EO38" s="3" t="s">
        <v>126</v>
      </c>
      <c r="EP38" s="3">
        <f t="shared" si="52"/>
        <v>2000</v>
      </c>
      <c r="EQ38" s="3">
        <v>1000</v>
      </c>
      <c r="ER38" s="7">
        <f t="shared" si="53"/>
        <v>2000000</v>
      </c>
      <c r="ES38" s="3" t="s">
        <v>124</v>
      </c>
      <c r="ET38" s="2">
        <v>1</v>
      </c>
      <c r="EU38" s="3">
        <v>60000</v>
      </c>
      <c r="EV38" s="3">
        <f t="shared" si="28"/>
        <v>60000</v>
      </c>
      <c r="EW38" s="3" t="s">
        <v>124</v>
      </c>
      <c r="EX38" s="14"/>
      <c r="EY38" s="3">
        <v>60000</v>
      </c>
      <c r="EZ38" s="3">
        <f t="shared" si="29"/>
        <v>0</v>
      </c>
      <c r="FA38" s="2" t="s">
        <v>170</v>
      </c>
      <c r="FB38" s="14"/>
      <c r="FC38" s="3">
        <v>1000</v>
      </c>
      <c r="FD38" s="3">
        <f t="shared" si="30"/>
        <v>0</v>
      </c>
      <c r="FE38" s="3" t="s">
        <v>126</v>
      </c>
      <c r="FF38" s="3">
        <f t="shared" si="54"/>
        <v>0</v>
      </c>
      <c r="FG38" s="3">
        <v>6000</v>
      </c>
      <c r="FH38" s="3">
        <f t="shared" si="31"/>
        <v>0</v>
      </c>
      <c r="FI38" s="1">
        <f t="shared" si="32"/>
        <v>6910000</v>
      </c>
      <c r="FJ38" s="3" t="s">
        <v>139</v>
      </c>
      <c r="FK38" s="2">
        <v>40</v>
      </c>
      <c r="FL38" s="2">
        <v>6000</v>
      </c>
      <c r="FM38" s="3">
        <f t="shared" si="33"/>
        <v>240000</v>
      </c>
      <c r="FN38" s="3" t="s">
        <v>139</v>
      </c>
      <c r="FO38" s="14"/>
      <c r="FP38" s="3">
        <v>6000</v>
      </c>
      <c r="FQ38" s="3">
        <f t="shared" si="55"/>
        <v>0</v>
      </c>
      <c r="FR38" s="3" t="s">
        <v>139</v>
      </c>
      <c r="FS38" s="14"/>
      <c r="FT38" s="13">
        <v>6000</v>
      </c>
      <c r="FU38" s="3">
        <f t="shared" si="34"/>
        <v>0</v>
      </c>
      <c r="FV38" s="3" t="s">
        <v>139</v>
      </c>
      <c r="FW38" s="14"/>
      <c r="FX38" s="3">
        <v>8000</v>
      </c>
      <c r="FY38" s="3">
        <f t="shared" si="35"/>
        <v>0</v>
      </c>
      <c r="FZ38" s="3" t="s">
        <v>139</v>
      </c>
      <c r="GA38" s="3">
        <v>2</v>
      </c>
      <c r="GB38" s="3">
        <v>8000</v>
      </c>
      <c r="GC38" s="3">
        <f t="shared" si="36"/>
        <v>16000</v>
      </c>
      <c r="GD38" s="3" t="s">
        <v>139</v>
      </c>
      <c r="GE38" s="3">
        <v>10</v>
      </c>
      <c r="GF38" s="3">
        <v>10000</v>
      </c>
      <c r="GG38" s="3">
        <f t="shared" si="37"/>
        <v>100000</v>
      </c>
      <c r="GH38" s="3" t="s">
        <v>139</v>
      </c>
      <c r="GI38" s="14"/>
      <c r="GJ38" s="14"/>
      <c r="GK38" s="3">
        <f t="shared" si="38"/>
        <v>0</v>
      </c>
      <c r="GL38" s="92">
        <f t="shared" si="39"/>
        <v>356000</v>
      </c>
      <c r="GM38" s="8">
        <f t="shared" si="40"/>
        <v>7486000</v>
      </c>
      <c r="GN38" s="8">
        <f t="shared" si="41"/>
        <v>10000</v>
      </c>
      <c r="GO38" s="102">
        <v>2500</v>
      </c>
      <c r="GP38" s="8">
        <f t="shared" si="56"/>
        <v>25000000</v>
      </c>
      <c r="GQ38" s="8">
        <f t="shared" si="42"/>
        <v>62500000</v>
      </c>
      <c r="GR38" s="8">
        <f t="shared" si="43"/>
        <v>17514000</v>
      </c>
      <c r="GS38" s="8">
        <f t="shared" si="44"/>
        <v>55014000</v>
      </c>
      <c r="GT38" s="15" t="s">
        <v>1775</v>
      </c>
      <c r="GU38" s="47" t="s">
        <v>1761</v>
      </c>
    </row>
    <row r="39" spans="1:203" s="28" customFormat="1" ht="158.25" customHeight="1">
      <c r="A39" s="44">
        <v>40</v>
      </c>
      <c r="B39" s="22" t="s">
        <v>39</v>
      </c>
      <c r="C39" s="15" t="s">
        <v>459</v>
      </c>
      <c r="D39" s="14" t="s">
        <v>317</v>
      </c>
      <c r="E39" s="15" t="s">
        <v>881</v>
      </c>
      <c r="F39" s="15" t="s">
        <v>737</v>
      </c>
      <c r="G39" s="15" t="s">
        <v>460</v>
      </c>
      <c r="H39" s="14" t="s">
        <v>315</v>
      </c>
      <c r="I39" s="15" t="s">
        <v>689</v>
      </c>
      <c r="J39" s="14" t="s">
        <v>316</v>
      </c>
      <c r="K39" s="15" t="s">
        <v>461</v>
      </c>
      <c r="L39" s="15" t="s">
        <v>462</v>
      </c>
      <c r="M39" s="15" t="s">
        <v>463</v>
      </c>
      <c r="N39" s="15" t="s">
        <v>464</v>
      </c>
      <c r="O39" s="15" t="s">
        <v>465</v>
      </c>
      <c r="P39" s="15" t="s">
        <v>555</v>
      </c>
      <c r="Q39" s="15" t="s">
        <v>466</v>
      </c>
      <c r="R39" s="15">
        <v>2000</v>
      </c>
      <c r="S39" s="15">
        <v>2500</v>
      </c>
      <c r="T39" s="15">
        <v>1000</v>
      </c>
      <c r="U39" s="15">
        <v>300</v>
      </c>
      <c r="V39" s="29">
        <v>400</v>
      </c>
      <c r="W39" s="15" t="s">
        <v>467</v>
      </c>
      <c r="X39" s="29">
        <v>10</v>
      </c>
      <c r="Y39" s="15">
        <v>25</v>
      </c>
      <c r="Z39" s="15" t="s">
        <v>468</v>
      </c>
      <c r="AA39" s="15" t="s">
        <v>469</v>
      </c>
      <c r="AB39" s="15" t="s">
        <v>470</v>
      </c>
      <c r="AC39" s="3">
        <v>50000</v>
      </c>
      <c r="AD39" s="15">
        <v>30</v>
      </c>
      <c r="AE39" s="14"/>
      <c r="AF39" s="3">
        <v>80000</v>
      </c>
      <c r="AG39" s="3">
        <f t="shared" si="45"/>
        <v>1500000</v>
      </c>
      <c r="AH39" s="15" t="s">
        <v>471</v>
      </c>
      <c r="AI39" s="15">
        <v>500</v>
      </c>
      <c r="AJ39" s="13">
        <v>1000</v>
      </c>
      <c r="AK39" s="29">
        <v>300</v>
      </c>
      <c r="AL39" s="13">
        <v>6000</v>
      </c>
      <c r="AM39" s="14"/>
      <c r="AN39" s="13">
        <v>3000</v>
      </c>
      <c r="AO39" s="27"/>
      <c r="AP39" s="13">
        <v>6000</v>
      </c>
      <c r="AQ39" s="2">
        <f t="shared" si="0"/>
        <v>2300000</v>
      </c>
      <c r="AR39" s="15" t="s">
        <v>500</v>
      </c>
      <c r="AS39" s="15" t="s">
        <v>501</v>
      </c>
      <c r="AT39" s="2" t="s">
        <v>139</v>
      </c>
      <c r="AU39" s="14"/>
      <c r="AV39" s="3">
        <v>6000</v>
      </c>
      <c r="AW39" s="2">
        <f t="shared" si="72"/>
        <v>0</v>
      </c>
      <c r="AX39" s="2" t="s">
        <v>139</v>
      </c>
      <c r="AY39" s="14"/>
      <c r="AZ39" s="3">
        <v>6000</v>
      </c>
      <c r="BA39" s="2">
        <f t="shared" si="2"/>
        <v>0</v>
      </c>
      <c r="BB39" s="2" t="s">
        <v>139</v>
      </c>
      <c r="BC39" s="14"/>
      <c r="BD39" s="3">
        <v>6000</v>
      </c>
      <c r="BE39" s="3">
        <f t="shared" si="3"/>
        <v>0</v>
      </c>
      <c r="BF39" s="3" t="s">
        <v>125</v>
      </c>
      <c r="BG39" s="14"/>
      <c r="BH39" s="3">
        <v>6000</v>
      </c>
      <c r="BI39" s="3">
        <f t="shared" si="85"/>
        <v>0</v>
      </c>
      <c r="BJ39" s="3" t="s">
        <v>126</v>
      </c>
      <c r="BK39" s="14"/>
      <c r="BL39" s="3">
        <v>1000</v>
      </c>
      <c r="BM39" s="3">
        <f t="shared" si="62"/>
        <v>0</v>
      </c>
      <c r="BN39" s="13" t="s">
        <v>20</v>
      </c>
      <c r="BO39" s="14"/>
      <c r="BP39" s="2">
        <v>3000</v>
      </c>
      <c r="BQ39" s="14"/>
      <c r="BR39" s="2" t="s">
        <v>126</v>
      </c>
      <c r="BS39" s="14"/>
      <c r="BT39" s="2">
        <f>6000</f>
        <v>6000</v>
      </c>
      <c r="BU39" s="3">
        <f t="shared" si="7"/>
        <v>0</v>
      </c>
      <c r="BV39" s="2" t="s">
        <v>126</v>
      </c>
      <c r="BW39" s="14"/>
      <c r="BX39" s="2">
        <v>6000</v>
      </c>
      <c r="BY39" s="3">
        <f t="shared" si="116"/>
        <v>0</v>
      </c>
      <c r="BZ39" s="92">
        <f t="shared" si="9"/>
        <v>0</v>
      </c>
      <c r="CA39" s="2" t="s">
        <v>139</v>
      </c>
      <c r="CB39" s="3">
        <v>5</v>
      </c>
      <c r="CC39" s="3">
        <v>8000</v>
      </c>
      <c r="CD39" s="3">
        <f t="shared" si="10"/>
        <v>40000</v>
      </c>
      <c r="CE39" s="2" t="s">
        <v>139</v>
      </c>
      <c r="CF39" s="2">
        <v>30</v>
      </c>
      <c r="CG39" s="2">
        <v>6000</v>
      </c>
      <c r="CH39" s="3">
        <f t="shared" si="11"/>
        <v>180000</v>
      </c>
      <c r="CI39" s="3" t="s">
        <v>139</v>
      </c>
      <c r="CJ39" s="3">
        <v>1</v>
      </c>
      <c r="CK39" s="14"/>
      <c r="CL39" s="3">
        <f t="shared" si="12"/>
        <v>0</v>
      </c>
      <c r="CM39" s="5">
        <f t="shared" si="13"/>
        <v>220000</v>
      </c>
      <c r="CN39" s="2" t="s">
        <v>139</v>
      </c>
      <c r="CO39" s="14"/>
      <c r="CP39" s="2">
        <v>6000</v>
      </c>
      <c r="CQ39" s="2">
        <f t="shared" si="117"/>
        <v>0</v>
      </c>
      <c r="CR39" s="2" t="s">
        <v>139</v>
      </c>
      <c r="CS39" s="14"/>
      <c r="CT39" s="2">
        <v>6000</v>
      </c>
      <c r="CU39" s="2">
        <f t="shared" si="118"/>
        <v>0</v>
      </c>
      <c r="CV39" s="2" t="s">
        <v>139</v>
      </c>
      <c r="CW39" s="14"/>
      <c r="CX39" s="2">
        <v>6000</v>
      </c>
      <c r="CY39" s="2">
        <f t="shared" si="119"/>
        <v>0</v>
      </c>
      <c r="CZ39" s="2" t="s">
        <v>139</v>
      </c>
      <c r="DA39" s="14"/>
      <c r="DB39" s="2">
        <v>6000</v>
      </c>
      <c r="DC39" s="2">
        <f t="shared" si="120"/>
        <v>0</v>
      </c>
      <c r="DD39" s="2" t="s">
        <v>139</v>
      </c>
      <c r="DE39" s="14"/>
      <c r="DF39" s="2">
        <v>6000</v>
      </c>
      <c r="DG39" s="2">
        <f t="shared" si="121"/>
        <v>0</v>
      </c>
      <c r="DH39" s="2" t="s">
        <v>139</v>
      </c>
      <c r="DI39" s="14"/>
      <c r="DJ39" s="2">
        <v>6000</v>
      </c>
      <c r="DK39" s="2">
        <f t="shared" si="122"/>
        <v>0</v>
      </c>
      <c r="DL39" s="3" t="s">
        <v>125</v>
      </c>
      <c r="DM39" s="14"/>
      <c r="DN39" s="3">
        <v>6000</v>
      </c>
      <c r="DO39" s="2">
        <f t="shared" si="123"/>
        <v>0</v>
      </c>
      <c r="DP39" s="2" t="s">
        <v>139</v>
      </c>
      <c r="DQ39" s="14"/>
      <c r="DR39" s="3">
        <v>6000</v>
      </c>
      <c r="DS39" s="2">
        <f t="shared" si="21"/>
        <v>0</v>
      </c>
      <c r="DT39" s="6">
        <f t="shared" si="22"/>
        <v>0</v>
      </c>
      <c r="DU39" s="2" t="s">
        <v>157</v>
      </c>
      <c r="DV39" s="3">
        <f t="shared" si="46"/>
        <v>2000</v>
      </c>
      <c r="DW39" s="3">
        <f t="shared" si="47"/>
        <v>1000</v>
      </c>
      <c r="DX39" s="3">
        <f t="shared" si="23"/>
        <v>2000000</v>
      </c>
      <c r="DY39" s="3" t="s">
        <v>127</v>
      </c>
      <c r="DZ39" s="3">
        <f t="shared" si="48"/>
        <v>30</v>
      </c>
      <c r="EA39" s="2">
        <v>50000</v>
      </c>
      <c r="EB39" s="3">
        <f t="shared" si="24"/>
        <v>1500000</v>
      </c>
      <c r="EC39" s="2" t="s">
        <v>127</v>
      </c>
      <c r="ED39" s="3">
        <f t="shared" si="49"/>
        <v>0</v>
      </c>
      <c r="EE39" s="3">
        <v>80000</v>
      </c>
      <c r="EF39" s="3">
        <f t="shared" si="25"/>
        <v>0</v>
      </c>
      <c r="EG39" s="2" t="s">
        <v>157</v>
      </c>
      <c r="EH39" s="3">
        <f t="shared" si="50"/>
        <v>300</v>
      </c>
      <c r="EI39" s="3">
        <v>6000</v>
      </c>
      <c r="EJ39" s="7">
        <f t="shared" si="124"/>
        <v>1800000</v>
      </c>
      <c r="EK39" s="2" t="s">
        <v>157</v>
      </c>
      <c r="EL39" s="13">
        <f t="shared" si="125"/>
        <v>0</v>
      </c>
      <c r="EM39" s="3">
        <v>3000</v>
      </c>
      <c r="EN39" s="3">
        <f t="shared" si="27"/>
        <v>0</v>
      </c>
      <c r="EO39" s="3" t="s">
        <v>126</v>
      </c>
      <c r="EP39" s="3">
        <f t="shared" si="52"/>
        <v>500</v>
      </c>
      <c r="EQ39" s="3">
        <v>1000</v>
      </c>
      <c r="ER39" s="7">
        <f t="shared" si="53"/>
        <v>500000</v>
      </c>
      <c r="ES39" s="3" t="s">
        <v>124</v>
      </c>
      <c r="ET39" s="2">
        <v>1</v>
      </c>
      <c r="EU39" s="3">
        <v>60000</v>
      </c>
      <c r="EV39" s="3">
        <f t="shared" si="28"/>
        <v>60000</v>
      </c>
      <c r="EW39" s="3" t="s">
        <v>124</v>
      </c>
      <c r="EX39" s="14"/>
      <c r="EY39" s="3">
        <v>60000</v>
      </c>
      <c r="EZ39" s="3">
        <f t="shared" si="29"/>
        <v>0</v>
      </c>
      <c r="FA39" s="2" t="s">
        <v>170</v>
      </c>
      <c r="FB39" s="14"/>
      <c r="FC39" s="3">
        <v>1000</v>
      </c>
      <c r="FD39" s="3">
        <f t="shared" si="30"/>
        <v>0</v>
      </c>
      <c r="FE39" s="3" t="s">
        <v>126</v>
      </c>
      <c r="FF39" s="3">
        <f t="shared" si="54"/>
        <v>0</v>
      </c>
      <c r="FG39" s="3">
        <v>6000</v>
      </c>
      <c r="FH39" s="3">
        <f t="shared" si="31"/>
        <v>0</v>
      </c>
      <c r="FI39" s="1">
        <f t="shared" si="32"/>
        <v>5860000</v>
      </c>
      <c r="FJ39" s="3" t="s">
        <v>139</v>
      </c>
      <c r="FK39" s="2">
        <v>40</v>
      </c>
      <c r="FL39" s="2">
        <v>6000</v>
      </c>
      <c r="FM39" s="3">
        <f t="shared" si="33"/>
        <v>240000</v>
      </c>
      <c r="FN39" s="3" t="s">
        <v>139</v>
      </c>
      <c r="FO39" s="14"/>
      <c r="FP39" s="3">
        <v>6000</v>
      </c>
      <c r="FQ39" s="3">
        <f t="shared" si="55"/>
        <v>0</v>
      </c>
      <c r="FR39" s="3" t="s">
        <v>139</v>
      </c>
      <c r="FS39" s="14"/>
      <c r="FT39" s="13">
        <v>6000</v>
      </c>
      <c r="FU39" s="3">
        <f t="shared" si="34"/>
        <v>0</v>
      </c>
      <c r="FV39" s="3" t="s">
        <v>139</v>
      </c>
      <c r="FW39" s="14"/>
      <c r="FX39" s="3">
        <v>8000</v>
      </c>
      <c r="FY39" s="3">
        <f t="shared" si="35"/>
        <v>0</v>
      </c>
      <c r="FZ39" s="3" t="s">
        <v>139</v>
      </c>
      <c r="GA39" s="3">
        <v>2</v>
      </c>
      <c r="GB39" s="3">
        <v>8000</v>
      </c>
      <c r="GC39" s="3">
        <f t="shared" si="36"/>
        <v>16000</v>
      </c>
      <c r="GD39" s="3" t="s">
        <v>139</v>
      </c>
      <c r="GE39" s="3">
        <v>10</v>
      </c>
      <c r="GF39" s="3">
        <v>10000</v>
      </c>
      <c r="GG39" s="3">
        <f t="shared" si="37"/>
        <v>100000</v>
      </c>
      <c r="GH39" s="3" t="s">
        <v>139</v>
      </c>
      <c r="GI39" s="14"/>
      <c r="GJ39" s="14"/>
      <c r="GK39" s="3">
        <f t="shared" si="38"/>
        <v>0</v>
      </c>
      <c r="GL39" s="92">
        <f t="shared" si="39"/>
        <v>356000</v>
      </c>
      <c r="GM39" s="8">
        <f t="shared" si="40"/>
        <v>6436000</v>
      </c>
      <c r="GN39" s="8">
        <f t="shared" si="41"/>
        <v>10000</v>
      </c>
      <c r="GO39" s="102">
        <v>2000</v>
      </c>
      <c r="GP39" s="8">
        <f t="shared" si="56"/>
        <v>20000000</v>
      </c>
      <c r="GQ39" s="8">
        <f t="shared" si="42"/>
        <v>50000000</v>
      </c>
      <c r="GR39" s="8">
        <f t="shared" si="43"/>
        <v>13564000</v>
      </c>
      <c r="GS39" s="8">
        <f t="shared" si="44"/>
        <v>43564000</v>
      </c>
      <c r="GT39" s="15" t="s">
        <v>1765</v>
      </c>
      <c r="GU39" s="49" t="s">
        <v>1762</v>
      </c>
    </row>
    <row r="40" spans="1:203" s="28" customFormat="1" ht="158.25" customHeight="1">
      <c r="A40" s="44">
        <v>41</v>
      </c>
      <c r="B40" s="22" t="s">
        <v>39</v>
      </c>
      <c r="C40" s="15" t="s">
        <v>485</v>
      </c>
      <c r="D40" s="14" t="s">
        <v>318</v>
      </c>
      <c r="E40" s="15" t="s">
        <v>882</v>
      </c>
      <c r="F40" s="15" t="s">
        <v>738</v>
      </c>
      <c r="G40" s="14" t="s">
        <v>486</v>
      </c>
      <c r="H40" s="14" t="s">
        <v>315</v>
      </c>
      <c r="I40" s="15" t="s">
        <v>487</v>
      </c>
      <c r="J40" s="14" t="s">
        <v>488</v>
      </c>
      <c r="K40" s="15" t="s">
        <v>489</v>
      </c>
      <c r="L40" s="15" t="s">
        <v>490</v>
      </c>
      <c r="M40" s="15" t="s">
        <v>491</v>
      </c>
      <c r="N40" s="15" t="s">
        <v>492</v>
      </c>
      <c r="O40" s="15" t="s">
        <v>493</v>
      </c>
      <c r="P40" s="15" t="s">
        <v>494</v>
      </c>
      <c r="Q40" s="15" t="s">
        <v>466</v>
      </c>
      <c r="R40" s="15">
        <v>1200</v>
      </c>
      <c r="S40" s="15">
        <v>2000</v>
      </c>
      <c r="T40" s="15">
        <v>1000</v>
      </c>
      <c r="U40" s="15">
        <v>270</v>
      </c>
      <c r="V40" s="29">
        <v>450</v>
      </c>
      <c r="W40" s="15" t="s">
        <v>495</v>
      </c>
      <c r="X40" s="29">
        <v>10</v>
      </c>
      <c r="Y40" s="15">
        <v>25</v>
      </c>
      <c r="Z40" s="15" t="s">
        <v>496</v>
      </c>
      <c r="AA40" s="15" t="s">
        <v>497</v>
      </c>
      <c r="AB40" s="15" t="s">
        <v>498</v>
      </c>
      <c r="AC40" s="3">
        <v>50000</v>
      </c>
      <c r="AD40" s="15">
        <v>30</v>
      </c>
      <c r="AE40" s="14"/>
      <c r="AF40" s="3">
        <v>80000</v>
      </c>
      <c r="AG40" s="3">
        <f t="shared" si="45"/>
        <v>1500000</v>
      </c>
      <c r="AH40" s="15" t="s">
        <v>499</v>
      </c>
      <c r="AI40" s="15">
        <v>2000</v>
      </c>
      <c r="AJ40" s="13">
        <v>1000</v>
      </c>
      <c r="AK40" s="29">
        <v>200</v>
      </c>
      <c r="AL40" s="13">
        <v>6000</v>
      </c>
      <c r="AM40" s="14"/>
      <c r="AN40" s="13">
        <v>3000</v>
      </c>
      <c r="AO40" s="27"/>
      <c r="AP40" s="13">
        <v>6000</v>
      </c>
      <c r="AQ40" s="2">
        <f t="shared" si="0"/>
        <v>3200000</v>
      </c>
      <c r="AR40" s="27"/>
      <c r="AS40" s="27"/>
      <c r="AT40" s="2" t="s">
        <v>139</v>
      </c>
      <c r="AU40" s="14"/>
      <c r="AV40" s="3">
        <v>6000</v>
      </c>
      <c r="AW40" s="2">
        <f t="shared" si="72"/>
        <v>0</v>
      </c>
      <c r="AX40" s="2" t="s">
        <v>139</v>
      </c>
      <c r="AY40" s="14"/>
      <c r="AZ40" s="3">
        <v>6000</v>
      </c>
      <c r="BA40" s="2">
        <f t="shared" si="2"/>
        <v>0</v>
      </c>
      <c r="BB40" s="2" t="s">
        <v>139</v>
      </c>
      <c r="BC40" s="14"/>
      <c r="BD40" s="3">
        <v>6000</v>
      </c>
      <c r="BE40" s="3">
        <f t="shared" si="3"/>
        <v>0</v>
      </c>
      <c r="BF40" s="3" t="s">
        <v>125</v>
      </c>
      <c r="BG40" s="14"/>
      <c r="BH40" s="3">
        <v>6000</v>
      </c>
      <c r="BI40" s="3">
        <f t="shared" si="85"/>
        <v>0</v>
      </c>
      <c r="BJ40" s="3" t="s">
        <v>126</v>
      </c>
      <c r="BK40" s="14"/>
      <c r="BL40" s="3">
        <v>1000</v>
      </c>
      <c r="BM40" s="3">
        <f t="shared" si="62"/>
        <v>0</v>
      </c>
      <c r="BN40" s="13" t="s">
        <v>20</v>
      </c>
      <c r="BO40" s="14"/>
      <c r="BP40" s="2">
        <v>3000</v>
      </c>
      <c r="BQ40" s="14"/>
      <c r="BR40" s="2" t="s">
        <v>126</v>
      </c>
      <c r="BS40" s="14"/>
      <c r="BT40" s="2">
        <f>6000</f>
        <v>6000</v>
      </c>
      <c r="BU40" s="3">
        <f t="shared" si="7"/>
        <v>0</v>
      </c>
      <c r="BV40" s="2" t="s">
        <v>126</v>
      </c>
      <c r="BW40" s="14"/>
      <c r="BX40" s="2">
        <v>6000</v>
      </c>
      <c r="BY40" s="3">
        <f t="shared" si="116"/>
        <v>0</v>
      </c>
      <c r="BZ40" s="92">
        <f t="shared" si="9"/>
        <v>0</v>
      </c>
      <c r="CA40" s="2" t="s">
        <v>139</v>
      </c>
      <c r="CB40" s="3">
        <v>5</v>
      </c>
      <c r="CC40" s="3">
        <v>8000</v>
      </c>
      <c r="CD40" s="3">
        <f t="shared" si="10"/>
        <v>40000</v>
      </c>
      <c r="CE40" s="2" t="s">
        <v>139</v>
      </c>
      <c r="CF40" s="2">
        <v>30</v>
      </c>
      <c r="CG40" s="2">
        <v>6000</v>
      </c>
      <c r="CH40" s="3">
        <f t="shared" si="11"/>
        <v>180000</v>
      </c>
      <c r="CI40" s="3" t="s">
        <v>139</v>
      </c>
      <c r="CJ40" s="3">
        <v>1</v>
      </c>
      <c r="CK40" s="14"/>
      <c r="CL40" s="3">
        <f t="shared" si="12"/>
        <v>0</v>
      </c>
      <c r="CM40" s="5">
        <f t="shared" si="13"/>
        <v>220000</v>
      </c>
      <c r="CN40" s="2" t="s">
        <v>139</v>
      </c>
      <c r="CO40" s="14"/>
      <c r="CP40" s="2">
        <v>6000</v>
      </c>
      <c r="CQ40" s="2">
        <f t="shared" si="117"/>
        <v>0</v>
      </c>
      <c r="CR40" s="2" t="s">
        <v>139</v>
      </c>
      <c r="CS40" s="14"/>
      <c r="CT40" s="2">
        <v>6000</v>
      </c>
      <c r="CU40" s="2">
        <f t="shared" si="118"/>
        <v>0</v>
      </c>
      <c r="CV40" s="2" t="s">
        <v>139</v>
      </c>
      <c r="CW40" s="14"/>
      <c r="CX40" s="2">
        <v>6000</v>
      </c>
      <c r="CY40" s="2">
        <f t="shared" si="119"/>
        <v>0</v>
      </c>
      <c r="CZ40" s="2" t="s">
        <v>139</v>
      </c>
      <c r="DA40" s="14"/>
      <c r="DB40" s="2">
        <v>6000</v>
      </c>
      <c r="DC40" s="2">
        <f t="shared" si="120"/>
        <v>0</v>
      </c>
      <c r="DD40" s="2" t="s">
        <v>139</v>
      </c>
      <c r="DE40" s="14"/>
      <c r="DF40" s="2">
        <v>6000</v>
      </c>
      <c r="DG40" s="2">
        <f t="shared" si="121"/>
        <v>0</v>
      </c>
      <c r="DH40" s="2" t="s">
        <v>139</v>
      </c>
      <c r="DI40" s="14"/>
      <c r="DJ40" s="2">
        <v>6000</v>
      </c>
      <c r="DK40" s="2">
        <f t="shared" si="122"/>
        <v>0</v>
      </c>
      <c r="DL40" s="3" t="s">
        <v>125</v>
      </c>
      <c r="DM40" s="14"/>
      <c r="DN40" s="3">
        <v>6000</v>
      </c>
      <c r="DO40" s="2">
        <f t="shared" si="123"/>
        <v>0</v>
      </c>
      <c r="DP40" s="2" t="s">
        <v>139</v>
      </c>
      <c r="DQ40" s="14"/>
      <c r="DR40" s="3">
        <v>6000</v>
      </c>
      <c r="DS40" s="2">
        <f t="shared" si="21"/>
        <v>0</v>
      </c>
      <c r="DT40" s="6">
        <f t="shared" si="22"/>
        <v>0</v>
      </c>
      <c r="DU40" s="2" t="s">
        <v>157</v>
      </c>
      <c r="DV40" s="3">
        <f t="shared" si="46"/>
        <v>1200</v>
      </c>
      <c r="DW40" s="3">
        <f t="shared" si="47"/>
        <v>1000</v>
      </c>
      <c r="DX40" s="3">
        <f t="shared" si="23"/>
        <v>1200000</v>
      </c>
      <c r="DY40" s="3" t="s">
        <v>127</v>
      </c>
      <c r="DZ40" s="3">
        <f t="shared" si="48"/>
        <v>30</v>
      </c>
      <c r="EA40" s="2">
        <v>50000</v>
      </c>
      <c r="EB40" s="3">
        <f t="shared" si="24"/>
        <v>1500000</v>
      </c>
      <c r="EC40" s="2" t="s">
        <v>127</v>
      </c>
      <c r="ED40" s="3">
        <f t="shared" si="49"/>
        <v>0</v>
      </c>
      <c r="EE40" s="3">
        <v>80000</v>
      </c>
      <c r="EF40" s="3">
        <f t="shared" si="25"/>
        <v>0</v>
      </c>
      <c r="EG40" s="2" t="s">
        <v>157</v>
      </c>
      <c r="EH40" s="3">
        <f t="shared" si="50"/>
        <v>200</v>
      </c>
      <c r="EI40" s="3">
        <v>6000</v>
      </c>
      <c r="EJ40" s="7">
        <f t="shared" si="124"/>
        <v>1200000</v>
      </c>
      <c r="EK40" s="2" t="s">
        <v>157</v>
      </c>
      <c r="EL40" s="13">
        <f t="shared" si="125"/>
        <v>0</v>
      </c>
      <c r="EM40" s="3">
        <v>3000</v>
      </c>
      <c r="EN40" s="3">
        <f t="shared" si="27"/>
        <v>0</v>
      </c>
      <c r="EO40" s="3" t="s">
        <v>126</v>
      </c>
      <c r="EP40" s="3">
        <f t="shared" si="52"/>
        <v>2000</v>
      </c>
      <c r="EQ40" s="3">
        <v>1000</v>
      </c>
      <c r="ER40" s="7">
        <f t="shared" si="53"/>
        <v>2000000</v>
      </c>
      <c r="ES40" s="3" t="s">
        <v>124</v>
      </c>
      <c r="ET40" s="2">
        <v>1</v>
      </c>
      <c r="EU40" s="3">
        <v>60000</v>
      </c>
      <c r="EV40" s="3">
        <f t="shared" si="28"/>
        <v>60000</v>
      </c>
      <c r="EW40" s="3" t="s">
        <v>124</v>
      </c>
      <c r="EX40" s="14"/>
      <c r="EY40" s="3">
        <v>60000</v>
      </c>
      <c r="EZ40" s="3">
        <f t="shared" si="29"/>
        <v>0</v>
      </c>
      <c r="FA40" s="2" t="s">
        <v>170</v>
      </c>
      <c r="FB40" s="14"/>
      <c r="FC40" s="3">
        <v>1000</v>
      </c>
      <c r="FD40" s="3">
        <f t="shared" si="30"/>
        <v>0</v>
      </c>
      <c r="FE40" s="3" t="s">
        <v>126</v>
      </c>
      <c r="FF40" s="3">
        <f t="shared" si="54"/>
        <v>0</v>
      </c>
      <c r="FG40" s="3">
        <v>6000</v>
      </c>
      <c r="FH40" s="3">
        <f t="shared" si="31"/>
        <v>0</v>
      </c>
      <c r="FI40" s="1">
        <f t="shared" si="32"/>
        <v>5960000</v>
      </c>
      <c r="FJ40" s="3" t="s">
        <v>139</v>
      </c>
      <c r="FK40" s="2">
        <v>40</v>
      </c>
      <c r="FL40" s="2">
        <v>6000</v>
      </c>
      <c r="FM40" s="3">
        <f t="shared" si="33"/>
        <v>240000</v>
      </c>
      <c r="FN40" s="3" t="s">
        <v>139</v>
      </c>
      <c r="FO40" s="14"/>
      <c r="FP40" s="3">
        <v>6000</v>
      </c>
      <c r="FQ40" s="3">
        <f t="shared" si="55"/>
        <v>0</v>
      </c>
      <c r="FR40" s="3" t="s">
        <v>139</v>
      </c>
      <c r="FS40" s="14"/>
      <c r="FT40" s="13">
        <v>6000</v>
      </c>
      <c r="FU40" s="3">
        <f t="shared" si="34"/>
        <v>0</v>
      </c>
      <c r="FV40" s="3" t="s">
        <v>139</v>
      </c>
      <c r="FW40" s="14"/>
      <c r="FX40" s="3">
        <v>8000</v>
      </c>
      <c r="FY40" s="3">
        <f t="shared" si="35"/>
        <v>0</v>
      </c>
      <c r="FZ40" s="3" t="s">
        <v>139</v>
      </c>
      <c r="GA40" s="3">
        <v>2</v>
      </c>
      <c r="GB40" s="3">
        <v>8000</v>
      </c>
      <c r="GC40" s="3">
        <f t="shared" si="36"/>
        <v>16000</v>
      </c>
      <c r="GD40" s="3" t="s">
        <v>139</v>
      </c>
      <c r="GE40" s="3">
        <v>10</v>
      </c>
      <c r="GF40" s="3">
        <v>10000</v>
      </c>
      <c r="GG40" s="3">
        <f t="shared" si="37"/>
        <v>100000</v>
      </c>
      <c r="GH40" s="3" t="s">
        <v>139</v>
      </c>
      <c r="GI40" s="14"/>
      <c r="GJ40" s="14"/>
      <c r="GK40" s="3">
        <f t="shared" si="38"/>
        <v>0</v>
      </c>
      <c r="GL40" s="92">
        <f t="shared" si="39"/>
        <v>356000</v>
      </c>
      <c r="GM40" s="8">
        <f t="shared" si="40"/>
        <v>6536000</v>
      </c>
      <c r="GN40" s="8">
        <f t="shared" si="41"/>
        <v>10000</v>
      </c>
      <c r="GO40" s="102">
        <v>2000</v>
      </c>
      <c r="GP40" s="8">
        <f t="shared" si="56"/>
        <v>20000000</v>
      </c>
      <c r="GQ40" s="8">
        <f t="shared" si="42"/>
        <v>50000000</v>
      </c>
      <c r="GR40" s="8">
        <f t="shared" si="43"/>
        <v>13464000</v>
      </c>
      <c r="GS40" s="8">
        <f t="shared" si="44"/>
        <v>43464000</v>
      </c>
      <c r="GT40" s="15" t="s">
        <v>1767</v>
      </c>
      <c r="GU40" s="47" t="s">
        <v>1766</v>
      </c>
    </row>
    <row r="41" spans="1:203" s="28" customFormat="1" ht="158.25" customHeight="1">
      <c r="A41" s="44">
        <v>42</v>
      </c>
      <c r="B41" s="22" t="s">
        <v>39</v>
      </c>
      <c r="C41" s="15" t="s">
        <v>472</v>
      </c>
      <c r="D41" s="14" t="s">
        <v>319</v>
      </c>
      <c r="E41" s="15" t="s">
        <v>883</v>
      </c>
      <c r="F41" s="15" t="s">
        <v>739</v>
      </c>
      <c r="G41" s="15" t="s">
        <v>502</v>
      </c>
      <c r="H41" s="14" t="s">
        <v>315</v>
      </c>
      <c r="I41" s="15" t="s">
        <v>503</v>
      </c>
      <c r="J41" s="15" t="s">
        <v>504</v>
      </c>
      <c r="K41" s="15" t="s">
        <v>505</v>
      </c>
      <c r="L41" s="15" t="s">
        <v>506</v>
      </c>
      <c r="M41" s="15" t="s">
        <v>507</v>
      </c>
      <c r="N41" s="15" t="s">
        <v>508</v>
      </c>
      <c r="O41" s="15" t="s">
        <v>509</v>
      </c>
      <c r="P41" s="15" t="s">
        <v>510</v>
      </c>
      <c r="Q41" s="15" t="s">
        <v>466</v>
      </c>
      <c r="R41" s="15">
        <v>2000</v>
      </c>
      <c r="S41" s="15">
        <v>2500</v>
      </c>
      <c r="T41" s="15">
        <v>900</v>
      </c>
      <c r="U41" s="15">
        <v>210</v>
      </c>
      <c r="V41" s="29">
        <v>300</v>
      </c>
      <c r="W41" s="15" t="s">
        <v>511</v>
      </c>
      <c r="X41" s="29">
        <v>15</v>
      </c>
      <c r="Y41" s="15">
        <v>25</v>
      </c>
      <c r="Z41" s="14" t="s">
        <v>512</v>
      </c>
      <c r="AA41" s="15" t="s">
        <v>513</v>
      </c>
      <c r="AB41" s="14" t="s">
        <v>514</v>
      </c>
      <c r="AC41" s="3">
        <v>50000</v>
      </c>
      <c r="AD41" s="14"/>
      <c r="AE41" s="15">
        <v>20</v>
      </c>
      <c r="AF41" s="3">
        <v>80000</v>
      </c>
      <c r="AG41" s="3">
        <f t="shared" si="45"/>
        <v>1600000</v>
      </c>
      <c r="AH41" s="15" t="s">
        <v>515</v>
      </c>
      <c r="AI41" s="15">
        <v>1000</v>
      </c>
      <c r="AJ41" s="13">
        <v>1000</v>
      </c>
      <c r="AK41" s="27">
        <v>300</v>
      </c>
      <c r="AL41" s="13">
        <v>6000</v>
      </c>
      <c r="AM41" s="14">
        <v>100</v>
      </c>
      <c r="AN41" s="13">
        <v>3000</v>
      </c>
      <c r="AO41" s="27"/>
      <c r="AP41" s="13">
        <v>6000</v>
      </c>
      <c r="AQ41" s="2">
        <f t="shared" si="0"/>
        <v>3100000</v>
      </c>
      <c r="AR41" s="27" t="s">
        <v>516</v>
      </c>
      <c r="AS41" s="29" t="s">
        <v>517</v>
      </c>
      <c r="AT41" s="2" t="s">
        <v>139</v>
      </c>
      <c r="AU41" s="14"/>
      <c r="AV41" s="3">
        <v>6000</v>
      </c>
      <c r="AW41" s="2">
        <f t="shared" si="72"/>
        <v>0</v>
      </c>
      <c r="AX41" s="2" t="s">
        <v>139</v>
      </c>
      <c r="AY41" s="14"/>
      <c r="AZ41" s="3">
        <v>6000</v>
      </c>
      <c r="BA41" s="2">
        <f t="shared" si="2"/>
        <v>0</v>
      </c>
      <c r="BB41" s="2" t="s">
        <v>139</v>
      </c>
      <c r="BC41" s="14"/>
      <c r="BD41" s="3">
        <v>6000</v>
      </c>
      <c r="BE41" s="3">
        <f t="shared" si="3"/>
        <v>0</v>
      </c>
      <c r="BF41" s="3" t="s">
        <v>125</v>
      </c>
      <c r="BG41" s="14"/>
      <c r="BH41" s="3">
        <v>6000</v>
      </c>
      <c r="BI41" s="3">
        <f t="shared" si="85"/>
        <v>0</v>
      </c>
      <c r="BJ41" s="3" t="s">
        <v>126</v>
      </c>
      <c r="BK41" s="14"/>
      <c r="BL41" s="3">
        <v>1000</v>
      </c>
      <c r="BM41" s="3">
        <f t="shared" si="62"/>
        <v>0</v>
      </c>
      <c r="BN41" s="13" t="s">
        <v>20</v>
      </c>
      <c r="BO41" s="14"/>
      <c r="BP41" s="2">
        <v>3000</v>
      </c>
      <c r="BQ41" s="14"/>
      <c r="BR41" s="2" t="s">
        <v>126</v>
      </c>
      <c r="BS41" s="14"/>
      <c r="BT41" s="2">
        <f>6000</f>
        <v>6000</v>
      </c>
      <c r="BU41" s="3">
        <f t="shared" si="7"/>
        <v>0</v>
      </c>
      <c r="BV41" s="2" t="s">
        <v>126</v>
      </c>
      <c r="BW41" s="14"/>
      <c r="BX41" s="2">
        <v>6000</v>
      </c>
      <c r="BY41" s="3">
        <f t="shared" si="116"/>
        <v>0</v>
      </c>
      <c r="BZ41" s="92">
        <f t="shared" si="9"/>
        <v>0</v>
      </c>
      <c r="CA41" s="2" t="s">
        <v>139</v>
      </c>
      <c r="CB41" s="3">
        <v>5</v>
      </c>
      <c r="CC41" s="3">
        <v>8000</v>
      </c>
      <c r="CD41" s="3">
        <f t="shared" si="10"/>
        <v>40000</v>
      </c>
      <c r="CE41" s="2" t="s">
        <v>139</v>
      </c>
      <c r="CF41" s="2">
        <v>30</v>
      </c>
      <c r="CG41" s="2">
        <v>6000</v>
      </c>
      <c r="CH41" s="3">
        <f t="shared" si="11"/>
        <v>180000</v>
      </c>
      <c r="CI41" s="3" t="s">
        <v>139</v>
      </c>
      <c r="CJ41" s="3">
        <v>1</v>
      </c>
      <c r="CK41" s="14"/>
      <c r="CL41" s="3">
        <f t="shared" si="12"/>
        <v>0</v>
      </c>
      <c r="CM41" s="5">
        <f t="shared" si="13"/>
        <v>220000</v>
      </c>
      <c r="CN41" s="2" t="s">
        <v>139</v>
      </c>
      <c r="CO41" s="14"/>
      <c r="CP41" s="2">
        <v>6000</v>
      </c>
      <c r="CQ41" s="2">
        <f t="shared" si="117"/>
        <v>0</v>
      </c>
      <c r="CR41" s="2" t="s">
        <v>139</v>
      </c>
      <c r="CS41" s="14"/>
      <c r="CT41" s="2">
        <v>6000</v>
      </c>
      <c r="CU41" s="2">
        <f t="shared" si="118"/>
        <v>0</v>
      </c>
      <c r="CV41" s="2" t="s">
        <v>139</v>
      </c>
      <c r="CW41" s="14"/>
      <c r="CX41" s="2">
        <v>6000</v>
      </c>
      <c r="CY41" s="2">
        <f t="shared" si="119"/>
        <v>0</v>
      </c>
      <c r="CZ41" s="2" t="s">
        <v>139</v>
      </c>
      <c r="DA41" s="14"/>
      <c r="DB41" s="2">
        <v>6000</v>
      </c>
      <c r="DC41" s="2">
        <f t="shared" si="120"/>
        <v>0</v>
      </c>
      <c r="DD41" s="2" t="s">
        <v>139</v>
      </c>
      <c r="DE41" s="14"/>
      <c r="DF41" s="2">
        <v>6000</v>
      </c>
      <c r="DG41" s="2">
        <f t="shared" si="121"/>
        <v>0</v>
      </c>
      <c r="DH41" s="2" t="s">
        <v>139</v>
      </c>
      <c r="DI41" s="14"/>
      <c r="DJ41" s="2">
        <v>6000</v>
      </c>
      <c r="DK41" s="2">
        <f t="shared" si="122"/>
        <v>0</v>
      </c>
      <c r="DL41" s="3" t="s">
        <v>125</v>
      </c>
      <c r="DM41" s="14"/>
      <c r="DN41" s="3">
        <v>6000</v>
      </c>
      <c r="DO41" s="2">
        <f t="shared" si="123"/>
        <v>0</v>
      </c>
      <c r="DP41" s="2" t="s">
        <v>139</v>
      </c>
      <c r="DQ41" s="14"/>
      <c r="DR41" s="3">
        <v>6000</v>
      </c>
      <c r="DS41" s="2">
        <f t="shared" si="21"/>
        <v>0</v>
      </c>
      <c r="DT41" s="6">
        <f t="shared" si="22"/>
        <v>0</v>
      </c>
      <c r="DU41" s="2" t="s">
        <v>157</v>
      </c>
      <c r="DV41" s="3">
        <f t="shared" si="46"/>
        <v>2000</v>
      </c>
      <c r="DW41" s="3">
        <f t="shared" si="47"/>
        <v>900</v>
      </c>
      <c r="DX41" s="3">
        <f t="shared" si="23"/>
        <v>1800000</v>
      </c>
      <c r="DY41" s="3" t="s">
        <v>127</v>
      </c>
      <c r="DZ41" s="3">
        <f t="shared" si="48"/>
        <v>0</v>
      </c>
      <c r="EA41" s="2">
        <v>50000</v>
      </c>
      <c r="EB41" s="3">
        <f t="shared" si="24"/>
        <v>0</v>
      </c>
      <c r="EC41" s="2" t="s">
        <v>127</v>
      </c>
      <c r="ED41" s="3">
        <f t="shared" si="49"/>
        <v>20</v>
      </c>
      <c r="EE41" s="3">
        <v>80000</v>
      </c>
      <c r="EF41" s="3">
        <f t="shared" si="25"/>
        <v>1600000</v>
      </c>
      <c r="EG41" s="2" t="s">
        <v>157</v>
      </c>
      <c r="EH41" s="3">
        <f t="shared" si="50"/>
        <v>300</v>
      </c>
      <c r="EI41" s="3">
        <v>6000</v>
      </c>
      <c r="EJ41" s="7">
        <f t="shared" si="124"/>
        <v>1800000</v>
      </c>
      <c r="EK41" s="2" t="s">
        <v>157</v>
      </c>
      <c r="EL41" s="13">
        <f t="shared" si="125"/>
        <v>100</v>
      </c>
      <c r="EM41" s="3">
        <v>3000</v>
      </c>
      <c r="EN41" s="3">
        <f t="shared" si="27"/>
        <v>300000</v>
      </c>
      <c r="EO41" s="3" t="s">
        <v>126</v>
      </c>
      <c r="EP41" s="3">
        <f t="shared" si="52"/>
        <v>1000</v>
      </c>
      <c r="EQ41" s="3">
        <v>1000</v>
      </c>
      <c r="ER41" s="7">
        <f t="shared" si="53"/>
        <v>1000000</v>
      </c>
      <c r="ES41" s="3" t="s">
        <v>124</v>
      </c>
      <c r="ET41" s="2">
        <v>1</v>
      </c>
      <c r="EU41" s="3">
        <v>60000</v>
      </c>
      <c r="EV41" s="3">
        <f t="shared" si="28"/>
        <v>60000</v>
      </c>
      <c r="EW41" s="3" t="s">
        <v>124</v>
      </c>
      <c r="EX41" s="14"/>
      <c r="EY41" s="3">
        <v>60000</v>
      </c>
      <c r="EZ41" s="3">
        <f t="shared" si="29"/>
        <v>0</v>
      </c>
      <c r="FA41" s="2" t="s">
        <v>170</v>
      </c>
      <c r="FB41" s="14"/>
      <c r="FC41" s="3">
        <v>1000</v>
      </c>
      <c r="FD41" s="3">
        <f t="shared" si="30"/>
        <v>0</v>
      </c>
      <c r="FE41" s="3" t="s">
        <v>126</v>
      </c>
      <c r="FF41" s="3">
        <f t="shared" si="54"/>
        <v>0</v>
      </c>
      <c r="FG41" s="3">
        <v>6000</v>
      </c>
      <c r="FH41" s="3">
        <f t="shared" si="31"/>
        <v>0</v>
      </c>
      <c r="FI41" s="1">
        <f t="shared" si="32"/>
        <v>6560000</v>
      </c>
      <c r="FJ41" s="3" t="s">
        <v>139</v>
      </c>
      <c r="FK41" s="2">
        <v>40</v>
      </c>
      <c r="FL41" s="2">
        <v>6000</v>
      </c>
      <c r="FM41" s="3">
        <f t="shared" si="33"/>
        <v>240000</v>
      </c>
      <c r="FN41" s="3" t="s">
        <v>139</v>
      </c>
      <c r="FO41" s="14"/>
      <c r="FP41" s="3">
        <v>6000</v>
      </c>
      <c r="FQ41" s="3">
        <f t="shared" si="55"/>
        <v>0</v>
      </c>
      <c r="FR41" s="3" t="s">
        <v>139</v>
      </c>
      <c r="FS41" s="14"/>
      <c r="FT41" s="13">
        <v>6000</v>
      </c>
      <c r="FU41" s="3">
        <f t="shared" si="34"/>
        <v>0</v>
      </c>
      <c r="FV41" s="3" t="s">
        <v>139</v>
      </c>
      <c r="FW41" s="14"/>
      <c r="FX41" s="3">
        <v>8000</v>
      </c>
      <c r="FY41" s="3">
        <f t="shared" si="35"/>
        <v>0</v>
      </c>
      <c r="FZ41" s="3" t="s">
        <v>139</v>
      </c>
      <c r="GA41" s="3">
        <v>2</v>
      </c>
      <c r="GB41" s="3">
        <v>8000</v>
      </c>
      <c r="GC41" s="3">
        <f t="shared" si="36"/>
        <v>16000</v>
      </c>
      <c r="GD41" s="3" t="s">
        <v>139</v>
      </c>
      <c r="GE41" s="3">
        <v>10</v>
      </c>
      <c r="GF41" s="3">
        <v>10000</v>
      </c>
      <c r="GG41" s="3">
        <f t="shared" si="37"/>
        <v>100000</v>
      </c>
      <c r="GH41" s="3" t="s">
        <v>139</v>
      </c>
      <c r="GI41" s="14"/>
      <c r="GJ41" s="14"/>
      <c r="GK41" s="3">
        <f t="shared" si="38"/>
        <v>0</v>
      </c>
      <c r="GL41" s="92">
        <f t="shared" si="39"/>
        <v>356000</v>
      </c>
      <c r="GM41" s="8">
        <f t="shared" si="40"/>
        <v>7136000</v>
      </c>
      <c r="GN41" s="8">
        <f t="shared" si="41"/>
        <v>15000</v>
      </c>
      <c r="GO41" s="102">
        <v>1800</v>
      </c>
      <c r="GP41" s="8">
        <f t="shared" si="56"/>
        <v>27000000</v>
      </c>
      <c r="GQ41" s="8">
        <f t="shared" si="42"/>
        <v>45000000</v>
      </c>
      <c r="GR41" s="8">
        <f t="shared" si="43"/>
        <v>19864000</v>
      </c>
      <c r="GS41" s="8">
        <f t="shared" si="44"/>
        <v>37864000</v>
      </c>
      <c r="GT41" s="15" t="s">
        <v>1768</v>
      </c>
      <c r="GU41" s="47" t="s">
        <v>1763</v>
      </c>
    </row>
    <row r="42" spans="1:203" s="30" customFormat="1" ht="158.25" customHeight="1">
      <c r="A42" s="44">
        <v>43</v>
      </c>
      <c r="B42" s="18" t="s">
        <v>39</v>
      </c>
      <c r="C42" s="15" t="s">
        <v>529</v>
      </c>
      <c r="D42" s="15" t="s">
        <v>518</v>
      </c>
      <c r="E42" s="15" t="s">
        <v>884</v>
      </c>
      <c r="F42" s="15" t="s">
        <v>740</v>
      </c>
      <c r="G42" s="15" t="s">
        <v>519</v>
      </c>
      <c r="H42" s="15" t="s">
        <v>315</v>
      </c>
      <c r="I42" s="15" t="s">
        <v>520</v>
      </c>
      <c r="J42" s="15" t="s">
        <v>521</v>
      </c>
      <c r="K42" s="15" t="s">
        <v>522</v>
      </c>
      <c r="L42" s="15" t="s">
        <v>523</v>
      </c>
      <c r="M42" s="15" t="s">
        <v>524</v>
      </c>
      <c r="N42" s="15" t="s">
        <v>525</v>
      </c>
      <c r="O42" s="15" t="s">
        <v>526</v>
      </c>
      <c r="P42" s="15" t="s">
        <v>527</v>
      </c>
      <c r="Q42" s="15" t="s">
        <v>466</v>
      </c>
      <c r="R42" s="15">
        <v>1600</v>
      </c>
      <c r="S42" s="15">
        <v>2000</v>
      </c>
      <c r="T42" s="15">
        <v>1000</v>
      </c>
      <c r="U42" s="15">
        <v>270</v>
      </c>
      <c r="V42" s="29">
        <v>420</v>
      </c>
      <c r="W42" s="15" t="s">
        <v>528</v>
      </c>
      <c r="X42" s="29">
        <v>10</v>
      </c>
      <c r="Y42" s="15">
        <v>25</v>
      </c>
      <c r="Z42" s="15" t="s">
        <v>530</v>
      </c>
      <c r="AA42" s="15" t="s">
        <v>531</v>
      </c>
      <c r="AB42" s="15" t="s">
        <v>532</v>
      </c>
      <c r="AC42" s="3">
        <v>50000</v>
      </c>
      <c r="AD42" s="15">
        <v>20</v>
      </c>
      <c r="AE42" s="15"/>
      <c r="AF42" s="3">
        <v>80000</v>
      </c>
      <c r="AG42" s="3">
        <f t="shared" si="45"/>
        <v>1000000</v>
      </c>
      <c r="AH42" s="15" t="s">
        <v>533</v>
      </c>
      <c r="AI42" s="15"/>
      <c r="AJ42" s="15">
        <v>1000</v>
      </c>
      <c r="AK42" s="29">
        <v>300</v>
      </c>
      <c r="AL42" s="15">
        <v>6000</v>
      </c>
      <c r="AM42" s="15"/>
      <c r="AN42" s="15">
        <v>3000</v>
      </c>
      <c r="AO42" s="29"/>
      <c r="AP42" s="15">
        <v>6000</v>
      </c>
      <c r="AQ42" s="2">
        <f t="shared" si="0"/>
        <v>1800000</v>
      </c>
      <c r="AR42" s="31" t="s">
        <v>535</v>
      </c>
      <c r="AS42" s="31" t="s">
        <v>534</v>
      </c>
      <c r="AT42" s="3" t="s">
        <v>139</v>
      </c>
      <c r="AU42" s="15"/>
      <c r="AV42" s="3">
        <v>6000</v>
      </c>
      <c r="AW42" s="3">
        <f t="shared" si="72"/>
        <v>0</v>
      </c>
      <c r="AX42" s="3" t="s">
        <v>139</v>
      </c>
      <c r="AY42" s="15"/>
      <c r="AZ42" s="3">
        <v>6000</v>
      </c>
      <c r="BA42" s="3">
        <f t="shared" si="2"/>
        <v>0</v>
      </c>
      <c r="BB42" s="3" t="s">
        <v>139</v>
      </c>
      <c r="BC42" s="15"/>
      <c r="BD42" s="3">
        <v>6000</v>
      </c>
      <c r="BE42" s="3">
        <f t="shared" si="3"/>
        <v>0</v>
      </c>
      <c r="BF42" s="3" t="s">
        <v>125</v>
      </c>
      <c r="BG42" s="15"/>
      <c r="BH42" s="3">
        <v>6000</v>
      </c>
      <c r="BI42" s="3">
        <f t="shared" si="85"/>
        <v>0</v>
      </c>
      <c r="BJ42" s="3" t="s">
        <v>126</v>
      </c>
      <c r="BK42" s="15"/>
      <c r="BL42" s="3">
        <v>1000</v>
      </c>
      <c r="BM42" s="3">
        <f t="shared" si="62"/>
        <v>0</v>
      </c>
      <c r="BN42" s="13" t="s">
        <v>20</v>
      </c>
      <c r="BO42" s="15"/>
      <c r="BP42" s="2">
        <v>3000</v>
      </c>
      <c r="BQ42" s="15"/>
      <c r="BR42" s="2" t="s">
        <v>126</v>
      </c>
      <c r="BS42" s="15"/>
      <c r="BT42" s="3">
        <f>6000</f>
        <v>6000</v>
      </c>
      <c r="BU42" s="3">
        <f t="shared" si="7"/>
        <v>0</v>
      </c>
      <c r="BV42" s="3" t="s">
        <v>126</v>
      </c>
      <c r="BW42" s="15"/>
      <c r="BX42" s="3">
        <v>6000</v>
      </c>
      <c r="BY42" s="3">
        <f t="shared" si="116"/>
        <v>0</v>
      </c>
      <c r="BZ42" s="92">
        <f t="shared" si="9"/>
        <v>0</v>
      </c>
      <c r="CA42" s="3" t="s">
        <v>139</v>
      </c>
      <c r="CB42" s="3">
        <v>5</v>
      </c>
      <c r="CC42" s="3">
        <v>8000</v>
      </c>
      <c r="CD42" s="3">
        <f t="shared" si="10"/>
        <v>40000</v>
      </c>
      <c r="CE42" s="3" t="s">
        <v>139</v>
      </c>
      <c r="CF42" s="2">
        <v>30</v>
      </c>
      <c r="CG42" s="3">
        <v>6000</v>
      </c>
      <c r="CH42" s="3">
        <f t="shared" si="11"/>
        <v>180000</v>
      </c>
      <c r="CI42" s="3" t="s">
        <v>139</v>
      </c>
      <c r="CJ42" s="3">
        <v>1</v>
      </c>
      <c r="CK42" s="15"/>
      <c r="CL42" s="3">
        <f t="shared" si="12"/>
        <v>0</v>
      </c>
      <c r="CM42" s="5">
        <f t="shared" si="13"/>
        <v>220000</v>
      </c>
      <c r="CN42" s="3" t="s">
        <v>139</v>
      </c>
      <c r="CO42" s="15"/>
      <c r="CP42" s="3">
        <v>6000</v>
      </c>
      <c r="CQ42" s="3">
        <f t="shared" si="117"/>
        <v>0</v>
      </c>
      <c r="CR42" s="3" t="s">
        <v>139</v>
      </c>
      <c r="CS42" s="15"/>
      <c r="CT42" s="3">
        <v>6000</v>
      </c>
      <c r="CU42" s="3">
        <f t="shared" si="118"/>
        <v>0</v>
      </c>
      <c r="CV42" s="3" t="s">
        <v>139</v>
      </c>
      <c r="CW42" s="15"/>
      <c r="CX42" s="3">
        <v>6000</v>
      </c>
      <c r="CY42" s="3">
        <f t="shared" si="119"/>
        <v>0</v>
      </c>
      <c r="CZ42" s="3" t="s">
        <v>139</v>
      </c>
      <c r="DA42" s="15"/>
      <c r="DB42" s="3">
        <v>6000</v>
      </c>
      <c r="DC42" s="3">
        <f t="shared" si="120"/>
        <v>0</v>
      </c>
      <c r="DD42" s="3" t="s">
        <v>139</v>
      </c>
      <c r="DE42" s="15"/>
      <c r="DF42" s="3">
        <v>6000</v>
      </c>
      <c r="DG42" s="3">
        <f t="shared" si="121"/>
        <v>0</v>
      </c>
      <c r="DH42" s="3" t="s">
        <v>139</v>
      </c>
      <c r="DI42" s="15"/>
      <c r="DJ42" s="3">
        <v>6000</v>
      </c>
      <c r="DK42" s="3">
        <f t="shared" si="122"/>
        <v>0</v>
      </c>
      <c r="DL42" s="3" t="s">
        <v>125</v>
      </c>
      <c r="DM42" s="15"/>
      <c r="DN42" s="3">
        <v>6000</v>
      </c>
      <c r="DO42" s="3">
        <f t="shared" si="123"/>
        <v>0</v>
      </c>
      <c r="DP42" s="3" t="s">
        <v>139</v>
      </c>
      <c r="DQ42" s="15"/>
      <c r="DR42" s="3">
        <v>6000</v>
      </c>
      <c r="DS42" s="2">
        <f t="shared" si="21"/>
        <v>0</v>
      </c>
      <c r="DT42" s="6">
        <f t="shared" si="22"/>
        <v>0</v>
      </c>
      <c r="DU42" s="3" t="s">
        <v>157</v>
      </c>
      <c r="DV42" s="3">
        <f t="shared" si="46"/>
        <v>1600</v>
      </c>
      <c r="DW42" s="3">
        <f t="shared" si="47"/>
        <v>1000</v>
      </c>
      <c r="DX42" s="3">
        <f t="shared" si="23"/>
        <v>1600000</v>
      </c>
      <c r="DY42" s="3" t="s">
        <v>127</v>
      </c>
      <c r="DZ42" s="3">
        <f t="shared" si="48"/>
        <v>20</v>
      </c>
      <c r="EA42" s="2">
        <v>50000</v>
      </c>
      <c r="EB42" s="3">
        <f t="shared" si="24"/>
        <v>1000000</v>
      </c>
      <c r="EC42" s="3" t="s">
        <v>127</v>
      </c>
      <c r="ED42" s="3">
        <f t="shared" si="49"/>
        <v>0</v>
      </c>
      <c r="EE42" s="3">
        <v>80000</v>
      </c>
      <c r="EF42" s="3">
        <f t="shared" si="25"/>
        <v>0</v>
      </c>
      <c r="EG42" s="3" t="s">
        <v>157</v>
      </c>
      <c r="EH42" s="3">
        <f t="shared" si="50"/>
        <v>300</v>
      </c>
      <c r="EI42" s="3">
        <v>6000</v>
      </c>
      <c r="EJ42" s="7">
        <f t="shared" si="124"/>
        <v>1800000</v>
      </c>
      <c r="EK42" s="2" t="s">
        <v>157</v>
      </c>
      <c r="EL42" s="15">
        <f t="shared" si="125"/>
        <v>0</v>
      </c>
      <c r="EM42" s="3">
        <v>3000</v>
      </c>
      <c r="EN42" s="3">
        <f t="shared" si="27"/>
        <v>0</v>
      </c>
      <c r="EO42" s="3" t="s">
        <v>126</v>
      </c>
      <c r="EP42" s="3">
        <f t="shared" si="52"/>
        <v>0</v>
      </c>
      <c r="EQ42" s="3">
        <v>1000</v>
      </c>
      <c r="ER42" s="7">
        <f t="shared" si="53"/>
        <v>0</v>
      </c>
      <c r="ES42" s="3" t="s">
        <v>124</v>
      </c>
      <c r="ET42" s="2">
        <v>1</v>
      </c>
      <c r="EU42" s="3">
        <v>60000</v>
      </c>
      <c r="EV42" s="3">
        <f t="shared" si="28"/>
        <v>60000</v>
      </c>
      <c r="EW42" s="3" t="s">
        <v>124</v>
      </c>
      <c r="EX42" s="15"/>
      <c r="EY42" s="3">
        <v>60000</v>
      </c>
      <c r="EZ42" s="3">
        <f t="shared" si="29"/>
        <v>0</v>
      </c>
      <c r="FA42" s="3" t="s">
        <v>170</v>
      </c>
      <c r="FB42" s="15"/>
      <c r="FC42" s="3">
        <v>1000</v>
      </c>
      <c r="FD42" s="3">
        <f t="shared" si="30"/>
        <v>0</v>
      </c>
      <c r="FE42" s="3" t="s">
        <v>126</v>
      </c>
      <c r="FF42" s="3">
        <f t="shared" si="54"/>
        <v>0</v>
      </c>
      <c r="FG42" s="3">
        <v>6000</v>
      </c>
      <c r="FH42" s="3">
        <f t="shared" si="31"/>
        <v>0</v>
      </c>
      <c r="FI42" s="1">
        <f t="shared" si="32"/>
        <v>4460000</v>
      </c>
      <c r="FJ42" s="3" t="s">
        <v>139</v>
      </c>
      <c r="FK42" s="2">
        <v>40</v>
      </c>
      <c r="FL42" s="2">
        <v>6000</v>
      </c>
      <c r="FM42" s="3">
        <f t="shared" si="33"/>
        <v>240000</v>
      </c>
      <c r="FN42" s="3" t="s">
        <v>139</v>
      </c>
      <c r="FO42" s="15"/>
      <c r="FP42" s="3">
        <v>6000</v>
      </c>
      <c r="FQ42" s="3">
        <f t="shared" si="55"/>
        <v>0</v>
      </c>
      <c r="FR42" s="3" t="s">
        <v>139</v>
      </c>
      <c r="FS42" s="15"/>
      <c r="FT42" s="15">
        <v>6000</v>
      </c>
      <c r="FU42" s="3">
        <f t="shared" si="34"/>
        <v>0</v>
      </c>
      <c r="FV42" s="3" t="s">
        <v>139</v>
      </c>
      <c r="FW42" s="15"/>
      <c r="FX42" s="3">
        <v>8000</v>
      </c>
      <c r="FY42" s="3">
        <f t="shared" si="35"/>
        <v>0</v>
      </c>
      <c r="FZ42" s="3" t="s">
        <v>139</v>
      </c>
      <c r="GA42" s="3">
        <v>2</v>
      </c>
      <c r="GB42" s="3">
        <v>8000</v>
      </c>
      <c r="GC42" s="3">
        <f t="shared" si="36"/>
        <v>16000</v>
      </c>
      <c r="GD42" s="3" t="s">
        <v>139</v>
      </c>
      <c r="GE42" s="3">
        <v>10</v>
      </c>
      <c r="GF42" s="3">
        <v>10000</v>
      </c>
      <c r="GG42" s="3">
        <f t="shared" si="37"/>
        <v>100000</v>
      </c>
      <c r="GH42" s="3" t="s">
        <v>139</v>
      </c>
      <c r="GI42" s="15"/>
      <c r="GJ42" s="15"/>
      <c r="GK42" s="3">
        <f t="shared" si="38"/>
        <v>0</v>
      </c>
      <c r="GL42" s="92">
        <f t="shared" si="39"/>
        <v>356000</v>
      </c>
      <c r="GM42" s="8">
        <f t="shared" si="40"/>
        <v>5036000</v>
      </c>
      <c r="GN42" s="8">
        <f t="shared" si="41"/>
        <v>10000</v>
      </c>
      <c r="GO42" s="103">
        <v>2500</v>
      </c>
      <c r="GP42" s="8">
        <f t="shared" si="56"/>
        <v>25000000</v>
      </c>
      <c r="GQ42" s="8">
        <f t="shared" si="42"/>
        <v>62500000</v>
      </c>
      <c r="GR42" s="8">
        <f t="shared" si="43"/>
        <v>19964000</v>
      </c>
      <c r="GS42" s="8">
        <f t="shared" si="44"/>
        <v>57464000</v>
      </c>
      <c r="GT42" s="15" t="s">
        <v>1769</v>
      </c>
      <c r="GU42" s="47" t="s">
        <v>1764</v>
      </c>
    </row>
    <row r="43" spans="1:203" s="28" customFormat="1" ht="158.25" customHeight="1">
      <c r="A43" s="44">
        <v>44</v>
      </c>
      <c r="B43" s="22" t="s">
        <v>320</v>
      </c>
      <c r="C43" s="15" t="s">
        <v>556</v>
      </c>
      <c r="D43" s="14" t="s">
        <v>321</v>
      </c>
      <c r="E43" s="14" t="s">
        <v>557</v>
      </c>
      <c r="F43" s="15" t="s">
        <v>558</v>
      </c>
      <c r="G43" s="14" t="s">
        <v>559</v>
      </c>
      <c r="H43" s="15" t="s">
        <v>315</v>
      </c>
      <c r="I43" s="15" t="s">
        <v>560</v>
      </c>
      <c r="J43" s="14" t="s">
        <v>561</v>
      </c>
      <c r="K43" s="15" t="s">
        <v>562</v>
      </c>
      <c r="L43" s="15" t="s">
        <v>563</v>
      </c>
      <c r="M43" s="14" t="s">
        <v>578</v>
      </c>
      <c r="N43" s="14" t="s">
        <v>585</v>
      </c>
      <c r="O43" s="15" t="s">
        <v>586</v>
      </c>
      <c r="P43" s="14" t="s">
        <v>579</v>
      </c>
      <c r="Q43" s="15" t="s">
        <v>128</v>
      </c>
      <c r="R43" s="15">
        <v>0.25</v>
      </c>
      <c r="S43" s="15">
        <v>0.3</v>
      </c>
      <c r="T43" s="15">
        <v>300000</v>
      </c>
      <c r="U43" s="15">
        <v>270</v>
      </c>
      <c r="V43" s="15">
        <v>420</v>
      </c>
      <c r="W43" s="14" t="s">
        <v>580</v>
      </c>
      <c r="X43" s="29">
        <v>20</v>
      </c>
      <c r="Y43" s="15">
        <v>35</v>
      </c>
      <c r="Z43" s="15" t="s">
        <v>584</v>
      </c>
      <c r="AA43" s="15" t="s">
        <v>582</v>
      </c>
      <c r="AB43" s="15" t="s">
        <v>583</v>
      </c>
      <c r="AC43" s="3">
        <v>50000</v>
      </c>
      <c r="AD43" s="14"/>
      <c r="AE43" s="14">
        <v>20</v>
      </c>
      <c r="AF43" s="3">
        <v>80000</v>
      </c>
      <c r="AG43" s="3">
        <f t="shared" si="45"/>
        <v>1600000</v>
      </c>
      <c r="AH43" s="15" t="s">
        <v>587</v>
      </c>
      <c r="AI43" s="50">
        <v>250</v>
      </c>
      <c r="AJ43" s="15">
        <v>1000</v>
      </c>
      <c r="AK43" s="27">
        <v>1000</v>
      </c>
      <c r="AL43" s="15">
        <v>6000</v>
      </c>
      <c r="AM43" s="14"/>
      <c r="AN43" s="15">
        <v>3000</v>
      </c>
      <c r="AO43" s="27"/>
      <c r="AP43" s="15">
        <v>6000</v>
      </c>
      <c r="AQ43" s="2">
        <f t="shared" si="0"/>
        <v>6250000</v>
      </c>
      <c r="AR43" s="14" t="s">
        <v>606</v>
      </c>
      <c r="AS43" s="15" t="s">
        <v>605</v>
      </c>
      <c r="AT43" s="2" t="s">
        <v>139</v>
      </c>
      <c r="AU43" s="13">
        <v>7.5</v>
      </c>
      <c r="AV43" s="3">
        <v>6000</v>
      </c>
      <c r="AW43" s="2">
        <f t="shared" ref="AW43:AW46" si="126">AU43*AV43</f>
        <v>45000</v>
      </c>
      <c r="AX43" s="2" t="s">
        <v>139</v>
      </c>
      <c r="AY43" s="13">
        <v>5</v>
      </c>
      <c r="AZ43" s="3">
        <v>6000</v>
      </c>
      <c r="BA43" s="2">
        <f t="shared" ref="BA43:BA46" si="127">AY43*AZ43</f>
        <v>30000</v>
      </c>
      <c r="BB43" s="2" t="s">
        <v>139</v>
      </c>
      <c r="BC43" s="13">
        <v>2</v>
      </c>
      <c r="BD43" s="3">
        <v>6000</v>
      </c>
      <c r="BE43" s="3">
        <f t="shared" ref="BE43:BE46" si="128">BC43*BD43</f>
        <v>12000</v>
      </c>
      <c r="BF43" s="3" t="s">
        <v>125</v>
      </c>
      <c r="BG43" s="2">
        <v>2</v>
      </c>
      <c r="BH43" s="3">
        <v>6000</v>
      </c>
      <c r="BI43" s="3">
        <f t="shared" si="85"/>
        <v>12000</v>
      </c>
      <c r="BJ43" s="3" t="s">
        <v>126</v>
      </c>
      <c r="BK43" s="13"/>
      <c r="BL43" s="3">
        <v>1000</v>
      </c>
      <c r="BM43" s="3">
        <f t="shared" ref="BM43:BM46" si="129">BK43*BL43</f>
        <v>0</v>
      </c>
      <c r="BN43" s="13" t="s">
        <v>20</v>
      </c>
      <c r="BO43" s="13"/>
      <c r="BP43" s="2">
        <v>3000</v>
      </c>
      <c r="BQ43" s="3">
        <f>BO43*BP43</f>
        <v>0</v>
      </c>
      <c r="BR43" s="2" t="s">
        <v>126</v>
      </c>
      <c r="BS43" s="13"/>
      <c r="BT43" s="2">
        <f>6000</f>
        <v>6000</v>
      </c>
      <c r="BU43" s="3">
        <f t="shared" ref="BU43:BU46" si="130">BS43*BT43</f>
        <v>0</v>
      </c>
      <c r="BV43" s="2" t="s">
        <v>126</v>
      </c>
      <c r="BW43" s="13">
        <v>9</v>
      </c>
      <c r="BX43" s="2">
        <v>6000</v>
      </c>
      <c r="BY43" s="3">
        <f t="shared" si="116"/>
        <v>54000</v>
      </c>
      <c r="BZ43" s="92">
        <f t="shared" ref="BZ43:BZ46" si="131">AW43+BE43+BM43+BQ43+BU43+BI43+BY43</f>
        <v>123000</v>
      </c>
      <c r="CA43" s="2" t="s">
        <v>139</v>
      </c>
      <c r="CB43" s="3">
        <v>5</v>
      </c>
      <c r="CC43" s="3">
        <v>8000</v>
      </c>
      <c r="CD43" s="3">
        <f t="shared" si="10"/>
        <v>40000</v>
      </c>
      <c r="CE43" s="2" t="s">
        <v>139</v>
      </c>
      <c r="CF43" s="2">
        <v>30</v>
      </c>
      <c r="CG43" s="2">
        <v>6000</v>
      </c>
      <c r="CH43" s="3">
        <f t="shared" si="11"/>
        <v>180000</v>
      </c>
      <c r="CI43" s="3" t="s">
        <v>139</v>
      </c>
      <c r="CJ43" s="3">
        <v>1</v>
      </c>
      <c r="CK43" s="14"/>
      <c r="CL43" s="3">
        <f t="shared" si="12"/>
        <v>0</v>
      </c>
      <c r="CM43" s="5">
        <f>CD43+CH43+CL43</f>
        <v>220000</v>
      </c>
      <c r="CN43" s="3" t="s">
        <v>125</v>
      </c>
      <c r="CO43" s="3">
        <v>0</v>
      </c>
      <c r="CP43" s="3">
        <v>6000</v>
      </c>
      <c r="CQ43" s="3">
        <f t="shared" si="117"/>
        <v>0</v>
      </c>
      <c r="CR43" s="3" t="s">
        <v>125</v>
      </c>
      <c r="CS43" s="3">
        <v>75</v>
      </c>
      <c r="CT43" s="3">
        <v>6000</v>
      </c>
      <c r="CU43" s="3">
        <f t="shared" si="118"/>
        <v>450000</v>
      </c>
      <c r="CV43" s="3" t="s">
        <v>125</v>
      </c>
      <c r="CW43" s="3">
        <v>30</v>
      </c>
      <c r="CX43" s="3">
        <v>6000</v>
      </c>
      <c r="CY43" s="3">
        <f t="shared" si="119"/>
        <v>180000</v>
      </c>
      <c r="CZ43" s="3" t="s">
        <v>125</v>
      </c>
      <c r="DA43" s="3">
        <v>15</v>
      </c>
      <c r="DB43" s="3">
        <v>6000</v>
      </c>
      <c r="DC43" s="3">
        <f t="shared" si="120"/>
        <v>90000</v>
      </c>
      <c r="DD43" s="3" t="s">
        <v>125</v>
      </c>
      <c r="DE43" s="3">
        <v>5</v>
      </c>
      <c r="DF43" s="3">
        <v>6000</v>
      </c>
      <c r="DG43" s="3">
        <f t="shared" si="121"/>
        <v>30000</v>
      </c>
      <c r="DH43" s="3" t="s">
        <v>125</v>
      </c>
      <c r="DI43" s="3">
        <v>100</v>
      </c>
      <c r="DJ43" s="3">
        <v>6000</v>
      </c>
      <c r="DK43" s="3">
        <f t="shared" si="122"/>
        <v>600000</v>
      </c>
      <c r="DL43" s="3" t="s">
        <v>125</v>
      </c>
      <c r="DM43" s="3"/>
      <c r="DN43" s="3">
        <v>6000</v>
      </c>
      <c r="DO43" s="3">
        <f t="shared" si="123"/>
        <v>0</v>
      </c>
      <c r="DP43" s="3" t="s">
        <v>125</v>
      </c>
      <c r="DQ43" s="3"/>
      <c r="DR43" s="3">
        <v>6000</v>
      </c>
      <c r="DS43" s="3">
        <f t="shared" ref="DS43:DS46" si="132">DQ43*DR43</f>
        <v>0</v>
      </c>
      <c r="DT43" s="6">
        <f t="shared" ref="DT43:DT46" si="133">CQ43+CU43+CY43+DC43+DG43+DK43+DO43+DS43</f>
        <v>1350000</v>
      </c>
      <c r="DU43" s="2" t="s">
        <v>157</v>
      </c>
      <c r="DV43" s="3">
        <f t="shared" si="46"/>
        <v>0.25</v>
      </c>
      <c r="DW43" s="3">
        <f t="shared" si="47"/>
        <v>300000</v>
      </c>
      <c r="DX43" s="3">
        <f t="shared" si="23"/>
        <v>75000</v>
      </c>
      <c r="DY43" s="3" t="s">
        <v>127</v>
      </c>
      <c r="DZ43" s="3">
        <f t="shared" si="48"/>
        <v>0</v>
      </c>
      <c r="EA43" s="2">
        <v>50000</v>
      </c>
      <c r="EB43" s="3">
        <f t="shared" si="24"/>
        <v>0</v>
      </c>
      <c r="EC43" s="2" t="s">
        <v>127</v>
      </c>
      <c r="ED43" s="3">
        <f t="shared" si="49"/>
        <v>20</v>
      </c>
      <c r="EE43" s="3">
        <v>80000</v>
      </c>
      <c r="EF43" s="3">
        <f t="shared" si="25"/>
        <v>1600000</v>
      </c>
      <c r="EG43" s="2" t="s">
        <v>157</v>
      </c>
      <c r="EH43" s="3">
        <f t="shared" si="50"/>
        <v>1000</v>
      </c>
      <c r="EI43" s="3">
        <v>6000</v>
      </c>
      <c r="EJ43" s="7">
        <f t="shared" si="124"/>
        <v>6000000</v>
      </c>
      <c r="EK43" s="2" t="s">
        <v>157</v>
      </c>
      <c r="EL43" s="13">
        <f>AM43</f>
        <v>0</v>
      </c>
      <c r="EM43" s="3">
        <v>3000</v>
      </c>
      <c r="EN43" s="3">
        <f t="shared" si="27"/>
        <v>0</v>
      </c>
      <c r="EO43" s="3" t="s">
        <v>126</v>
      </c>
      <c r="EP43" s="3">
        <f t="shared" si="52"/>
        <v>250</v>
      </c>
      <c r="EQ43" s="3">
        <v>1000</v>
      </c>
      <c r="ER43" s="7">
        <f t="shared" si="53"/>
        <v>250000</v>
      </c>
      <c r="ES43" s="3" t="s">
        <v>124</v>
      </c>
      <c r="ET43" s="2">
        <v>1</v>
      </c>
      <c r="EU43" s="3">
        <v>60000</v>
      </c>
      <c r="EV43" s="3">
        <f t="shared" si="28"/>
        <v>60000</v>
      </c>
      <c r="EW43" s="3" t="s">
        <v>124</v>
      </c>
      <c r="EX43" s="14"/>
      <c r="EY43" s="3">
        <v>60000</v>
      </c>
      <c r="EZ43" s="3">
        <f t="shared" si="29"/>
        <v>0</v>
      </c>
      <c r="FA43" s="3" t="s">
        <v>170</v>
      </c>
      <c r="FB43" s="14"/>
      <c r="FC43" s="3">
        <v>1000</v>
      </c>
      <c r="FD43" s="3">
        <f t="shared" si="30"/>
        <v>0</v>
      </c>
      <c r="FE43" s="3" t="s">
        <v>126</v>
      </c>
      <c r="FF43" s="3">
        <f t="shared" si="54"/>
        <v>0</v>
      </c>
      <c r="FG43" s="3">
        <v>6000</v>
      </c>
      <c r="FH43" s="3">
        <f t="shared" si="31"/>
        <v>0</v>
      </c>
      <c r="FI43" s="1">
        <f t="shared" si="32"/>
        <v>7985000</v>
      </c>
      <c r="FJ43" s="3" t="s">
        <v>139</v>
      </c>
      <c r="FK43" s="2">
        <v>40</v>
      </c>
      <c r="FL43" s="2">
        <v>6000</v>
      </c>
      <c r="FM43" s="3">
        <f t="shared" si="33"/>
        <v>240000</v>
      </c>
      <c r="FN43" s="3" t="s">
        <v>139</v>
      </c>
      <c r="FO43" s="14"/>
      <c r="FP43" s="3">
        <v>6000</v>
      </c>
      <c r="FQ43" s="3">
        <f t="shared" si="55"/>
        <v>0</v>
      </c>
      <c r="FR43" s="3" t="s">
        <v>139</v>
      </c>
      <c r="FS43" s="14"/>
      <c r="FT43" s="15">
        <v>6000</v>
      </c>
      <c r="FU43" s="3">
        <f t="shared" si="34"/>
        <v>0</v>
      </c>
      <c r="FV43" s="3" t="s">
        <v>139</v>
      </c>
      <c r="FW43" s="14"/>
      <c r="FX43" s="3">
        <v>8000</v>
      </c>
      <c r="FY43" s="3">
        <f t="shared" si="35"/>
        <v>0</v>
      </c>
      <c r="FZ43" s="3" t="s">
        <v>139</v>
      </c>
      <c r="GA43" s="3">
        <v>2</v>
      </c>
      <c r="GB43" s="3">
        <v>8000</v>
      </c>
      <c r="GC43" s="3">
        <f t="shared" si="36"/>
        <v>16000</v>
      </c>
      <c r="GD43" s="3" t="s">
        <v>139</v>
      </c>
      <c r="GE43" s="3">
        <v>10</v>
      </c>
      <c r="GF43" s="3">
        <v>10000</v>
      </c>
      <c r="GG43" s="3">
        <f t="shared" si="37"/>
        <v>100000</v>
      </c>
      <c r="GH43" s="3" t="s">
        <v>139</v>
      </c>
      <c r="GI43" s="14"/>
      <c r="GJ43" s="14"/>
      <c r="GK43" s="3">
        <f t="shared" si="38"/>
        <v>0</v>
      </c>
      <c r="GL43" s="92">
        <f t="shared" si="39"/>
        <v>356000</v>
      </c>
      <c r="GM43" s="8">
        <f t="shared" si="40"/>
        <v>10034000</v>
      </c>
      <c r="GN43" s="8">
        <f t="shared" si="41"/>
        <v>20000</v>
      </c>
      <c r="GO43" s="102">
        <v>3500</v>
      </c>
      <c r="GP43" s="8">
        <f t="shared" si="56"/>
        <v>70000000</v>
      </c>
      <c r="GQ43" s="8">
        <f t="shared" si="42"/>
        <v>122500000</v>
      </c>
      <c r="GR43" s="8">
        <f t="shared" si="43"/>
        <v>59966000</v>
      </c>
      <c r="GS43" s="8">
        <f t="shared" si="44"/>
        <v>112466000</v>
      </c>
      <c r="GT43" s="15" t="s">
        <v>1770</v>
      </c>
      <c r="GU43" s="47" t="s">
        <v>588</v>
      </c>
    </row>
    <row r="44" spans="1:203" s="28" customFormat="1" ht="158.25" customHeight="1">
      <c r="A44" s="44">
        <v>45</v>
      </c>
      <c r="B44" s="22" t="s">
        <v>320</v>
      </c>
      <c r="C44" s="15" t="s">
        <v>556</v>
      </c>
      <c r="D44" s="14" t="s">
        <v>322</v>
      </c>
      <c r="E44" s="14" t="s">
        <v>589</v>
      </c>
      <c r="F44" s="14" t="s">
        <v>741</v>
      </c>
      <c r="G44" s="14" t="s">
        <v>1719</v>
      </c>
      <c r="H44" s="15" t="s">
        <v>315</v>
      </c>
      <c r="I44" s="15" t="s">
        <v>690</v>
      </c>
      <c r="J44" s="14" t="s">
        <v>590</v>
      </c>
      <c r="K44" s="15" t="s">
        <v>591</v>
      </c>
      <c r="L44" s="15" t="s">
        <v>592</v>
      </c>
      <c r="M44" s="14" t="s">
        <v>593</v>
      </c>
      <c r="N44" s="14" t="s">
        <v>585</v>
      </c>
      <c r="O44" s="14" t="s">
        <v>594</v>
      </c>
      <c r="P44" s="14" t="s">
        <v>595</v>
      </c>
      <c r="Q44" s="15" t="s">
        <v>128</v>
      </c>
      <c r="R44" s="15">
        <v>0.25</v>
      </c>
      <c r="S44" s="15">
        <v>0.3</v>
      </c>
      <c r="T44" s="15">
        <v>300000</v>
      </c>
      <c r="U44" s="15">
        <v>270</v>
      </c>
      <c r="V44" s="15">
        <v>420</v>
      </c>
      <c r="W44" s="14" t="s">
        <v>596</v>
      </c>
      <c r="X44" s="29">
        <v>20</v>
      </c>
      <c r="Y44" s="15">
        <v>35</v>
      </c>
      <c r="Z44" s="15" t="s">
        <v>584</v>
      </c>
      <c r="AA44" s="15" t="s">
        <v>582</v>
      </c>
      <c r="AB44" s="15" t="s">
        <v>583</v>
      </c>
      <c r="AC44" s="3">
        <v>50000</v>
      </c>
      <c r="AD44" s="14"/>
      <c r="AE44" s="14">
        <v>20</v>
      </c>
      <c r="AF44" s="3">
        <v>80000</v>
      </c>
      <c r="AG44" s="3">
        <f t="shared" si="45"/>
        <v>1600000</v>
      </c>
      <c r="AH44" s="15" t="s">
        <v>587</v>
      </c>
      <c r="AI44" s="50">
        <v>250</v>
      </c>
      <c r="AJ44" s="15">
        <v>1000</v>
      </c>
      <c r="AK44" s="27">
        <v>1000</v>
      </c>
      <c r="AL44" s="15">
        <v>6000</v>
      </c>
      <c r="AM44" s="14"/>
      <c r="AN44" s="15">
        <v>3000</v>
      </c>
      <c r="AO44" s="27"/>
      <c r="AP44" s="15">
        <v>6000</v>
      </c>
      <c r="AQ44" s="2">
        <f t="shared" si="0"/>
        <v>6250000</v>
      </c>
      <c r="AR44" s="14" t="s">
        <v>606</v>
      </c>
      <c r="AS44" s="15" t="s">
        <v>605</v>
      </c>
      <c r="AT44" s="2" t="s">
        <v>139</v>
      </c>
      <c r="AU44" s="13">
        <v>7.5</v>
      </c>
      <c r="AV44" s="3">
        <v>6000</v>
      </c>
      <c r="AW44" s="2">
        <f t="shared" si="126"/>
        <v>45000</v>
      </c>
      <c r="AX44" s="2" t="s">
        <v>139</v>
      </c>
      <c r="AY44" s="13">
        <v>5</v>
      </c>
      <c r="AZ44" s="3">
        <v>6000</v>
      </c>
      <c r="BA44" s="2">
        <f t="shared" si="127"/>
        <v>30000</v>
      </c>
      <c r="BB44" s="2" t="s">
        <v>139</v>
      </c>
      <c r="BC44" s="13">
        <v>2</v>
      </c>
      <c r="BD44" s="3">
        <v>6000</v>
      </c>
      <c r="BE44" s="3">
        <f t="shared" si="128"/>
        <v>12000</v>
      </c>
      <c r="BF44" s="3" t="s">
        <v>125</v>
      </c>
      <c r="BG44" s="2">
        <v>2</v>
      </c>
      <c r="BH44" s="3">
        <v>6000</v>
      </c>
      <c r="BI44" s="3">
        <f t="shared" si="85"/>
        <v>12000</v>
      </c>
      <c r="BJ44" s="3" t="s">
        <v>126</v>
      </c>
      <c r="BK44" s="13"/>
      <c r="BL44" s="3">
        <v>1000</v>
      </c>
      <c r="BM44" s="3">
        <f t="shared" si="129"/>
        <v>0</v>
      </c>
      <c r="BN44" s="13" t="s">
        <v>20</v>
      </c>
      <c r="BO44" s="13"/>
      <c r="BP44" s="2">
        <v>3000</v>
      </c>
      <c r="BQ44" s="3">
        <f>BO44*BP44</f>
        <v>0</v>
      </c>
      <c r="BR44" s="2" t="s">
        <v>126</v>
      </c>
      <c r="BS44" s="13"/>
      <c r="BT44" s="2">
        <f>6000</f>
        <v>6000</v>
      </c>
      <c r="BU44" s="3">
        <f t="shared" si="130"/>
        <v>0</v>
      </c>
      <c r="BV44" s="2" t="s">
        <v>126</v>
      </c>
      <c r="BW44" s="13">
        <v>9</v>
      </c>
      <c r="BX44" s="2">
        <v>6000</v>
      </c>
      <c r="BY44" s="3">
        <f t="shared" si="116"/>
        <v>54000</v>
      </c>
      <c r="BZ44" s="92">
        <f t="shared" si="131"/>
        <v>123000</v>
      </c>
      <c r="CA44" s="2" t="s">
        <v>139</v>
      </c>
      <c r="CB44" s="3">
        <v>5</v>
      </c>
      <c r="CC44" s="3">
        <v>8000</v>
      </c>
      <c r="CD44" s="3">
        <f t="shared" si="10"/>
        <v>40000</v>
      </c>
      <c r="CE44" s="2" t="s">
        <v>139</v>
      </c>
      <c r="CF44" s="2">
        <v>30</v>
      </c>
      <c r="CG44" s="2">
        <v>6000</v>
      </c>
      <c r="CH44" s="3">
        <f t="shared" si="11"/>
        <v>180000</v>
      </c>
      <c r="CI44" s="3" t="s">
        <v>139</v>
      </c>
      <c r="CJ44" s="3">
        <v>1</v>
      </c>
      <c r="CK44" s="14"/>
      <c r="CL44" s="3">
        <f t="shared" si="12"/>
        <v>0</v>
      </c>
      <c r="CM44" s="5">
        <f t="shared" si="13"/>
        <v>220000</v>
      </c>
      <c r="CN44" s="3" t="s">
        <v>125</v>
      </c>
      <c r="CO44" s="3">
        <v>0</v>
      </c>
      <c r="CP44" s="3">
        <v>6000</v>
      </c>
      <c r="CQ44" s="3">
        <f t="shared" si="117"/>
        <v>0</v>
      </c>
      <c r="CR44" s="3" t="s">
        <v>125</v>
      </c>
      <c r="CS44" s="3">
        <v>75</v>
      </c>
      <c r="CT44" s="3">
        <v>6000</v>
      </c>
      <c r="CU44" s="3">
        <f t="shared" si="118"/>
        <v>450000</v>
      </c>
      <c r="CV44" s="3" t="s">
        <v>125</v>
      </c>
      <c r="CW44" s="3">
        <v>30</v>
      </c>
      <c r="CX44" s="3">
        <v>6000</v>
      </c>
      <c r="CY44" s="3">
        <f t="shared" si="119"/>
        <v>180000</v>
      </c>
      <c r="CZ44" s="3" t="s">
        <v>125</v>
      </c>
      <c r="DA44" s="3">
        <v>15</v>
      </c>
      <c r="DB44" s="3">
        <v>6000</v>
      </c>
      <c r="DC44" s="3">
        <f t="shared" si="120"/>
        <v>90000</v>
      </c>
      <c r="DD44" s="3" t="s">
        <v>125</v>
      </c>
      <c r="DE44" s="3">
        <v>5</v>
      </c>
      <c r="DF44" s="3">
        <v>6000</v>
      </c>
      <c r="DG44" s="3">
        <f t="shared" si="121"/>
        <v>30000</v>
      </c>
      <c r="DH44" s="3" t="s">
        <v>125</v>
      </c>
      <c r="DI44" s="3">
        <v>100</v>
      </c>
      <c r="DJ44" s="3">
        <v>6000</v>
      </c>
      <c r="DK44" s="3">
        <f t="shared" si="122"/>
        <v>600000</v>
      </c>
      <c r="DL44" s="3" t="s">
        <v>125</v>
      </c>
      <c r="DM44" s="3"/>
      <c r="DN44" s="3">
        <v>6000</v>
      </c>
      <c r="DO44" s="3">
        <f t="shared" si="123"/>
        <v>0</v>
      </c>
      <c r="DP44" s="3" t="s">
        <v>125</v>
      </c>
      <c r="DQ44" s="3"/>
      <c r="DR44" s="3">
        <v>6000</v>
      </c>
      <c r="DS44" s="3">
        <f t="shared" si="132"/>
        <v>0</v>
      </c>
      <c r="DT44" s="6">
        <f t="shared" si="133"/>
        <v>1350000</v>
      </c>
      <c r="DU44" s="2" t="s">
        <v>157</v>
      </c>
      <c r="DV44" s="3">
        <f t="shared" si="46"/>
        <v>0.25</v>
      </c>
      <c r="DW44" s="3">
        <f t="shared" si="47"/>
        <v>300000</v>
      </c>
      <c r="DX44" s="3">
        <f t="shared" si="23"/>
        <v>75000</v>
      </c>
      <c r="DY44" s="3" t="s">
        <v>127</v>
      </c>
      <c r="DZ44" s="3">
        <f t="shared" si="48"/>
        <v>0</v>
      </c>
      <c r="EA44" s="2">
        <v>50000</v>
      </c>
      <c r="EB44" s="3">
        <f t="shared" si="24"/>
        <v>0</v>
      </c>
      <c r="EC44" s="2" t="s">
        <v>127</v>
      </c>
      <c r="ED44" s="3">
        <f t="shared" si="49"/>
        <v>20</v>
      </c>
      <c r="EE44" s="3">
        <v>80000</v>
      </c>
      <c r="EF44" s="3">
        <f t="shared" si="25"/>
        <v>1600000</v>
      </c>
      <c r="EG44" s="2" t="s">
        <v>157</v>
      </c>
      <c r="EH44" s="3">
        <f t="shared" si="50"/>
        <v>1000</v>
      </c>
      <c r="EI44" s="3">
        <v>6000</v>
      </c>
      <c r="EJ44" s="7">
        <f t="shared" si="124"/>
        <v>6000000</v>
      </c>
      <c r="EK44" s="2" t="s">
        <v>157</v>
      </c>
      <c r="EL44" s="13">
        <f>AM44</f>
        <v>0</v>
      </c>
      <c r="EM44" s="3">
        <v>3000</v>
      </c>
      <c r="EN44" s="3">
        <f t="shared" si="27"/>
        <v>0</v>
      </c>
      <c r="EO44" s="3" t="s">
        <v>126</v>
      </c>
      <c r="EP44" s="3">
        <f t="shared" si="52"/>
        <v>250</v>
      </c>
      <c r="EQ44" s="3">
        <v>1000</v>
      </c>
      <c r="ER44" s="7">
        <f t="shared" si="53"/>
        <v>250000</v>
      </c>
      <c r="ES44" s="3" t="s">
        <v>124</v>
      </c>
      <c r="ET44" s="2">
        <v>1</v>
      </c>
      <c r="EU44" s="3">
        <v>60000</v>
      </c>
      <c r="EV44" s="3">
        <f t="shared" si="28"/>
        <v>60000</v>
      </c>
      <c r="EW44" s="3" t="s">
        <v>124</v>
      </c>
      <c r="EX44" s="14"/>
      <c r="EY44" s="3">
        <v>60000</v>
      </c>
      <c r="EZ44" s="3">
        <f t="shared" si="29"/>
        <v>0</v>
      </c>
      <c r="FA44" s="3" t="s">
        <v>170</v>
      </c>
      <c r="FB44" s="14"/>
      <c r="FC44" s="3">
        <v>1000</v>
      </c>
      <c r="FD44" s="3">
        <f t="shared" si="30"/>
        <v>0</v>
      </c>
      <c r="FE44" s="3" t="s">
        <v>126</v>
      </c>
      <c r="FF44" s="3">
        <f t="shared" si="54"/>
        <v>0</v>
      </c>
      <c r="FG44" s="3">
        <v>6000</v>
      </c>
      <c r="FH44" s="3">
        <f t="shared" si="31"/>
        <v>0</v>
      </c>
      <c r="FI44" s="1">
        <f t="shared" si="32"/>
        <v>7985000</v>
      </c>
      <c r="FJ44" s="3" t="s">
        <v>139</v>
      </c>
      <c r="FK44" s="2">
        <v>40</v>
      </c>
      <c r="FL44" s="2">
        <v>6000</v>
      </c>
      <c r="FM44" s="3">
        <f t="shared" si="33"/>
        <v>240000</v>
      </c>
      <c r="FN44" s="3" t="s">
        <v>139</v>
      </c>
      <c r="FO44" s="14"/>
      <c r="FP44" s="3">
        <v>6000</v>
      </c>
      <c r="FQ44" s="3">
        <f t="shared" si="55"/>
        <v>0</v>
      </c>
      <c r="FR44" s="3" t="s">
        <v>139</v>
      </c>
      <c r="FS44" s="14"/>
      <c r="FT44" s="15">
        <v>6000</v>
      </c>
      <c r="FU44" s="3">
        <f t="shared" si="34"/>
        <v>0</v>
      </c>
      <c r="FV44" s="3" t="s">
        <v>139</v>
      </c>
      <c r="FW44" s="14"/>
      <c r="FX44" s="3">
        <v>8000</v>
      </c>
      <c r="FY44" s="3">
        <f t="shared" si="35"/>
        <v>0</v>
      </c>
      <c r="FZ44" s="3" t="s">
        <v>139</v>
      </c>
      <c r="GA44" s="3">
        <v>2</v>
      </c>
      <c r="GB44" s="3">
        <v>8000</v>
      </c>
      <c r="GC44" s="3">
        <f t="shared" si="36"/>
        <v>16000</v>
      </c>
      <c r="GD44" s="3" t="s">
        <v>139</v>
      </c>
      <c r="GE44" s="3">
        <v>10</v>
      </c>
      <c r="GF44" s="3">
        <v>10000</v>
      </c>
      <c r="GG44" s="3">
        <f t="shared" si="37"/>
        <v>100000</v>
      </c>
      <c r="GH44" s="3" t="s">
        <v>139</v>
      </c>
      <c r="GI44" s="14"/>
      <c r="GJ44" s="14"/>
      <c r="GK44" s="3">
        <f t="shared" si="38"/>
        <v>0</v>
      </c>
      <c r="GL44" s="92">
        <f t="shared" si="39"/>
        <v>356000</v>
      </c>
      <c r="GM44" s="8">
        <f t="shared" si="40"/>
        <v>10034000</v>
      </c>
      <c r="GN44" s="8">
        <f t="shared" si="41"/>
        <v>20000</v>
      </c>
      <c r="GO44" s="102">
        <v>3000</v>
      </c>
      <c r="GP44" s="8">
        <f t="shared" si="56"/>
        <v>60000000</v>
      </c>
      <c r="GQ44" s="8">
        <f t="shared" si="42"/>
        <v>105000000</v>
      </c>
      <c r="GR44" s="8">
        <f t="shared" si="43"/>
        <v>49966000</v>
      </c>
      <c r="GS44" s="8">
        <f t="shared" si="44"/>
        <v>94966000</v>
      </c>
      <c r="GT44" s="15" t="s">
        <v>1781</v>
      </c>
      <c r="GU44" s="47" t="s">
        <v>597</v>
      </c>
    </row>
    <row r="45" spans="1:203" s="28" customFormat="1" ht="158.25" customHeight="1">
      <c r="A45" s="44">
        <v>46</v>
      </c>
      <c r="B45" s="22" t="s">
        <v>320</v>
      </c>
      <c r="C45" s="15" t="s">
        <v>556</v>
      </c>
      <c r="D45" s="14" t="s">
        <v>323</v>
      </c>
      <c r="E45" s="14" t="s">
        <v>598</v>
      </c>
      <c r="F45" s="15" t="s">
        <v>742</v>
      </c>
      <c r="G45" s="14" t="s">
        <v>599</v>
      </c>
      <c r="H45" s="15" t="s">
        <v>315</v>
      </c>
      <c r="I45" s="15" t="s">
        <v>600</v>
      </c>
      <c r="J45" s="14" t="s">
        <v>601</v>
      </c>
      <c r="K45" s="14" t="s">
        <v>602</v>
      </c>
      <c r="L45" s="14" t="s">
        <v>603</v>
      </c>
      <c r="M45" s="14" t="s">
        <v>604</v>
      </c>
      <c r="N45" s="14" t="s">
        <v>585</v>
      </c>
      <c r="O45" s="14" t="s">
        <v>594</v>
      </c>
      <c r="P45" s="14" t="s">
        <v>595</v>
      </c>
      <c r="Q45" s="15" t="s">
        <v>128</v>
      </c>
      <c r="R45" s="15">
        <v>0.25</v>
      </c>
      <c r="S45" s="15">
        <v>0.3</v>
      </c>
      <c r="T45" s="15">
        <v>350000</v>
      </c>
      <c r="U45" s="15">
        <v>270</v>
      </c>
      <c r="V45" s="15">
        <v>420</v>
      </c>
      <c r="W45" s="14" t="s">
        <v>596</v>
      </c>
      <c r="X45" s="29">
        <v>22</v>
      </c>
      <c r="Y45" s="15">
        <v>35</v>
      </c>
      <c r="Z45" s="15" t="s">
        <v>584</v>
      </c>
      <c r="AA45" s="15" t="s">
        <v>582</v>
      </c>
      <c r="AB45" s="15" t="s">
        <v>583</v>
      </c>
      <c r="AC45" s="3">
        <v>50000</v>
      </c>
      <c r="AD45" s="14"/>
      <c r="AE45" s="14">
        <v>20</v>
      </c>
      <c r="AF45" s="3">
        <v>80000</v>
      </c>
      <c r="AG45" s="3">
        <f t="shared" si="45"/>
        <v>1600000</v>
      </c>
      <c r="AH45" s="15" t="s">
        <v>587</v>
      </c>
      <c r="AI45" s="50">
        <v>250</v>
      </c>
      <c r="AJ45" s="15">
        <v>1000</v>
      </c>
      <c r="AK45" s="27">
        <v>1000</v>
      </c>
      <c r="AL45" s="15">
        <v>6000</v>
      </c>
      <c r="AM45" s="14"/>
      <c r="AN45" s="15">
        <v>3000</v>
      </c>
      <c r="AO45" s="27"/>
      <c r="AP45" s="15">
        <v>6000</v>
      </c>
      <c r="AQ45" s="2">
        <f t="shared" si="0"/>
        <v>6250000</v>
      </c>
      <c r="AR45" s="14" t="s">
        <v>606</v>
      </c>
      <c r="AS45" s="15" t="s">
        <v>605</v>
      </c>
      <c r="AT45" s="2" t="s">
        <v>139</v>
      </c>
      <c r="AU45" s="13">
        <v>7.5</v>
      </c>
      <c r="AV45" s="3">
        <v>6000</v>
      </c>
      <c r="AW45" s="2">
        <f t="shared" si="126"/>
        <v>45000</v>
      </c>
      <c r="AX45" s="2" t="s">
        <v>139</v>
      </c>
      <c r="AY45" s="13">
        <v>5</v>
      </c>
      <c r="AZ45" s="3">
        <v>6000</v>
      </c>
      <c r="BA45" s="2">
        <f t="shared" si="127"/>
        <v>30000</v>
      </c>
      <c r="BB45" s="2" t="s">
        <v>139</v>
      </c>
      <c r="BC45" s="13">
        <v>2</v>
      </c>
      <c r="BD45" s="3">
        <v>6000</v>
      </c>
      <c r="BE45" s="3">
        <f t="shared" si="128"/>
        <v>12000</v>
      </c>
      <c r="BF45" s="3" t="s">
        <v>125</v>
      </c>
      <c r="BG45" s="2">
        <v>2</v>
      </c>
      <c r="BH45" s="3">
        <v>6000</v>
      </c>
      <c r="BI45" s="3">
        <f t="shared" si="85"/>
        <v>12000</v>
      </c>
      <c r="BJ45" s="3" t="s">
        <v>126</v>
      </c>
      <c r="BK45" s="13"/>
      <c r="BL45" s="3">
        <v>1000</v>
      </c>
      <c r="BM45" s="3">
        <f t="shared" si="129"/>
        <v>0</v>
      </c>
      <c r="BN45" s="13" t="s">
        <v>20</v>
      </c>
      <c r="BO45" s="13"/>
      <c r="BP45" s="2">
        <v>3000</v>
      </c>
      <c r="BQ45" s="3">
        <f>BO45*BP45</f>
        <v>0</v>
      </c>
      <c r="BR45" s="2" t="s">
        <v>126</v>
      </c>
      <c r="BS45" s="13"/>
      <c r="BT45" s="2">
        <f>6000</f>
        <v>6000</v>
      </c>
      <c r="BU45" s="3">
        <f t="shared" si="130"/>
        <v>0</v>
      </c>
      <c r="BV45" s="2" t="s">
        <v>126</v>
      </c>
      <c r="BW45" s="13">
        <v>9</v>
      </c>
      <c r="BX45" s="2">
        <v>6000</v>
      </c>
      <c r="BY45" s="3">
        <f t="shared" si="116"/>
        <v>54000</v>
      </c>
      <c r="BZ45" s="92">
        <f t="shared" si="131"/>
        <v>123000</v>
      </c>
      <c r="CA45" s="2" t="s">
        <v>139</v>
      </c>
      <c r="CB45" s="3">
        <v>5</v>
      </c>
      <c r="CC45" s="3">
        <v>8000</v>
      </c>
      <c r="CD45" s="3">
        <f t="shared" si="10"/>
        <v>40000</v>
      </c>
      <c r="CE45" s="2" t="s">
        <v>139</v>
      </c>
      <c r="CF45" s="2">
        <v>30</v>
      </c>
      <c r="CG45" s="2">
        <v>6000</v>
      </c>
      <c r="CH45" s="3">
        <f t="shared" si="11"/>
        <v>180000</v>
      </c>
      <c r="CI45" s="3" t="s">
        <v>139</v>
      </c>
      <c r="CJ45" s="3">
        <v>1</v>
      </c>
      <c r="CK45" s="14"/>
      <c r="CL45" s="3">
        <f t="shared" si="12"/>
        <v>0</v>
      </c>
      <c r="CM45" s="5">
        <f t="shared" si="13"/>
        <v>220000</v>
      </c>
      <c r="CN45" s="3" t="s">
        <v>125</v>
      </c>
      <c r="CO45" s="3">
        <v>0</v>
      </c>
      <c r="CP45" s="3">
        <v>6000</v>
      </c>
      <c r="CQ45" s="3">
        <f t="shared" si="117"/>
        <v>0</v>
      </c>
      <c r="CR45" s="3" t="s">
        <v>125</v>
      </c>
      <c r="CS45" s="3">
        <v>75</v>
      </c>
      <c r="CT45" s="3">
        <v>6000</v>
      </c>
      <c r="CU45" s="3">
        <f t="shared" si="118"/>
        <v>450000</v>
      </c>
      <c r="CV45" s="3" t="s">
        <v>125</v>
      </c>
      <c r="CW45" s="3">
        <v>30</v>
      </c>
      <c r="CX45" s="3">
        <v>6000</v>
      </c>
      <c r="CY45" s="3">
        <f t="shared" si="119"/>
        <v>180000</v>
      </c>
      <c r="CZ45" s="3" t="s">
        <v>125</v>
      </c>
      <c r="DA45" s="3">
        <v>15</v>
      </c>
      <c r="DB45" s="3">
        <v>6000</v>
      </c>
      <c r="DC45" s="3">
        <f t="shared" si="120"/>
        <v>90000</v>
      </c>
      <c r="DD45" s="3" t="s">
        <v>125</v>
      </c>
      <c r="DE45" s="3">
        <v>5</v>
      </c>
      <c r="DF45" s="3">
        <v>6000</v>
      </c>
      <c r="DG45" s="3">
        <f t="shared" si="121"/>
        <v>30000</v>
      </c>
      <c r="DH45" s="3" t="s">
        <v>125</v>
      </c>
      <c r="DI45" s="3">
        <v>100</v>
      </c>
      <c r="DJ45" s="3">
        <v>6000</v>
      </c>
      <c r="DK45" s="3">
        <f t="shared" si="122"/>
        <v>600000</v>
      </c>
      <c r="DL45" s="3" t="s">
        <v>125</v>
      </c>
      <c r="DM45" s="3"/>
      <c r="DN45" s="3">
        <v>6000</v>
      </c>
      <c r="DO45" s="3">
        <f t="shared" si="123"/>
        <v>0</v>
      </c>
      <c r="DP45" s="3" t="s">
        <v>125</v>
      </c>
      <c r="DQ45" s="3"/>
      <c r="DR45" s="3">
        <v>6000</v>
      </c>
      <c r="DS45" s="3">
        <f t="shared" si="132"/>
        <v>0</v>
      </c>
      <c r="DT45" s="6">
        <f t="shared" si="133"/>
        <v>1350000</v>
      </c>
      <c r="DU45" s="2" t="s">
        <v>157</v>
      </c>
      <c r="DV45" s="3">
        <f t="shared" si="46"/>
        <v>0.25</v>
      </c>
      <c r="DW45" s="3">
        <f t="shared" si="47"/>
        <v>350000</v>
      </c>
      <c r="DX45" s="3">
        <f t="shared" si="23"/>
        <v>87500</v>
      </c>
      <c r="DY45" s="3" t="s">
        <v>127</v>
      </c>
      <c r="DZ45" s="3">
        <f t="shared" si="48"/>
        <v>0</v>
      </c>
      <c r="EA45" s="2">
        <v>50000</v>
      </c>
      <c r="EB45" s="3">
        <f t="shared" si="24"/>
        <v>0</v>
      </c>
      <c r="EC45" s="2" t="s">
        <v>127</v>
      </c>
      <c r="ED45" s="3">
        <f t="shared" si="49"/>
        <v>20</v>
      </c>
      <c r="EE45" s="3">
        <v>80000</v>
      </c>
      <c r="EF45" s="3">
        <f t="shared" si="25"/>
        <v>1600000</v>
      </c>
      <c r="EG45" s="2" t="s">
        <v>157</v>
      </c>
      <c r="EH45" s="3">
        <f t="shared" si="50"/>
        <v>1000</v>
      </c>
      <c r="EI45" s="3">
        <v>6000</v>
      </c>
      <c r="EJ45" s="7">
        <f t="shared" si="124"/>
        <v>6000000</v>
      </c>
      <c r="EK45" s="2" t="s">
        <v>157</v>
      </c>
      <c r="EL45" s="13">
        <f>AM45</f>
        <v>0</v>
      </c>
      <c r="EM45" s="3">
        <v>3000</v>
      </c>
      <c r="EN45" s="3">
        <f t="shared" si="27"/>
        <v>0</v>
      </c>
      <c r="EO45" s="3" t="s">
        <v>126</v>
      </c>
      <c r="EP45" s="3">
        <f t="shared" si="52"/>
        <v>250</v>
      </c>
      <c r="EQ45" s="3">
        <v>1000</v>
      </c>
      <c r="ER45" s="7">
        <f t="shared" si="53"/>
        <v>250000</v>
      </c>
      <c r="ES45" s="3" t="s">
        <v>124</v>
      </c>
      <c r="ET45" s="2">
        <v>1</v>
      </c>
      <c r="EU45" s="3">
        <v>60000</v>
      </c>
      <c r="EV45" s="3">
        <f t="shared" si="28"/>
        <v>60000</v>
      </c>
      <c r="EW45" s="3" t="s">
        <v>124</v>
      </c>
      <c r="EX45" s="14"/>
      <c r="EY45" s="3">
        <v>60000</v>
      </c>
      <c r="EZ45" s="3">
        <f t="shared" si="29"/>
        <v>0</v>
      </c>
      <c r="FA45" s="3" t="s">
        <v>170</v>
      </c>
      <c r="FB45" s="14"/>
      <c r="FC45" s="3">
        <v>1000</v>
      </c>
      <c r="FD45" s="3">
        <f t="shared" si="30"/>
        <v>0</v>
      </c>
      <c r="FE45" s="3" t="s">
        <v>126</v>
      </c>
      <c r="FF45" s="3">
        <f t="shared" si="54"/>
        <v>0</v>
      </c>
      <c r="FG45" s="3">
        <v>6000</v>
      </c>
      <c r="FH45" s="3">
        <f t="shared" si="31"/>
        <v>0</v>
      </c>
      <c r="FI45" s="1">
        <f t="shared" si="32"/>
        <v>7997500</v>
      </c>
      <c r="FJ45" s="3" t="s">
        <v>139</v>
      </c>
      <c r="FK45" s="2">
        <v>40</v>
      </c>
      <c r="FL45" s="2">
        <v>6000</v>
      </c>
      <c r="FM45" s="3">
        <f t="shared" si="33"/>
        <v>240000</v>
      </c>
      <c r="FN45" s="3" t="s">
        <v>139</v>
      </c>
      <c r="FO45" s="14"/>
      <c r="FP45" s="3">
        <v>6000</v>
      </c>
      <c r="FQ45" s="3">
        <f t="shared" si="55"/>
        <v>0</v>
      </c>
      <c r="FR45" s="3" t="s">
        <v>139</v>
      </c>
      <c r="FS45" s="14"/>
      <c r="FT45" s="15">
        <v>6000</v>
      </c>
      <c r="FU45" s="3">
        <f t="shared" si="34"/>
        <v>0</v>
      </c>
      <c r="FV45" s="3" t="s">
        <v>139</v>
      </c>
      <c r="FW45" s="14"/>
      <c r="FX45" s="3">
        <v>8000</v>
      </c>
      <c r="FY45" s="3">
        <f t="shared" si="35"/>
        <v>0</v>
      </c>
      <c r="FZ45" s="3" t="s">
        <v>139</v>
      </c>
      <c r="GA45" s="3">
        <v>2</v>
      </c>
      <c r="GB45" s="3">
        <v>8000</v>
      </c>
      <c r="GC45" s="3">
        <f t="shared" si="36"/>
        <v>16000</v>
      </c>
      <c r="GD45" s="3" t="s">
        <v>139</v>
      </c>
      <c r="GE45" s="3">
        <v>10</v>
      </c>
      <c r="GF45" s="3">
        <v>10000</v>
      </c>
      <c r="GG45" s="3">
        <f t="shared" si="37"/>
        <v>100000</v>
      </c>
      <c r="GH45" s="3" t="s">
        <v>139</v>
      </c>
      <c r="GI45" s="14"/>
      <c r="GJ45" s="14"/>
      <c r="GK45" s="3">
        <f t="shared" si="38"/>
        <v>0</v>
      </c>
      <c r="GL45" s="92">
        <f t="shared" si="39"/>
        <v>356000</v>
      </c>
      <c r="GM45" s="8">
        <f t="shared" si="40"/>
        <v>10046500</v>
      </c>
      <c r="GN45" s="8">
        <f t="shared" si="41"/>
        <v>22000</v>
      </c>
      <c r="GO45" s="102">
        <v>3500</v>
      </c>
      <c r="GP45" s="8">
        <f t="shared" si="56"/>
        <v>77000000</v>
      </c>
      <c r="GQ45" s="8">
        <f t="shared" si="42"/>
        <v>122500000</v>
      </c>
      <c r="GR45" s="8">
        <f t="shared" si="43"/>
        <v>66953500</v>
      </c>
      <c r="GS45" s="8">
        <f t="shared" si="44"/>
        <v>112453500</v>
      </c>
      <c r="GT45" s="15" t="s">
        <v>1771</v>
      </c>
      <c r="GU45" s="47" t="s">
        <v>607</v>
      </c>
    </row>
    <row r="46" spans="1:203" s="28" customFormat="1" ht="158.25" customHeight="1">
      <c r="A46" s="44">
        <v>47</v>
      </c>
      <c r="B46" s="22" t="s">
        <v>320</v>
      </c>
      <c r="C46" s="15" t="s">
        <v>556</v>
      </c>
      <c r="D46" s="14" t="s">
        <v>324</v>
      </c>
      <c r="E46" s="14" t="s">
        <v>854</v>
      </c>
      <c r="F46" s="15" t="s">
        <v>581</v>
      </c>
      <c r="G46" s="14" t="s">
        <v>608</v>
      </c>
      <c r="H46" s="15" t="s">
        <v>315</v>
      </c>
      <c r="I46" s="14" t="s">
        <v>691</v>
      </c>
      <c r="J46" s="14" t="s">
        <v>609</v>
      </c>
      <c r="K46" s="14" t="s">
        <v>610</v>
      </c>
      <c r="L46" s="14" t="s">
        <v>611</v>
      </c>
      <c r="M46" s="15" t="s">
        <v>612</v>
      </c>
      <c r="N46" s="14" t="s">
        <v>585</v>
      </c>
      <c r="O46" s="14" t="s">
        <v>594</v>
      </c>
      <c r="P46" s="14" t="s">
        <v>595</v>
      </c>
      <c r="Q46" s="15" t="s">
        <v>128</v>
      </c>
      <c r="R46" s="15">
        <v>0.25</v>
      </c>
      <c r="S46" s="15">
        <v>0.35</v>
      </c>
      <c r="T46" s="15">
        <v>350000</v>
      </c>
      <c r="U46" s="15">
        <v>270</v>
      </c>
      <c r="V46" s="15">
        <v>420</v>
      </c>
      <c r="W46" s="14" t="s">
        <v>596</v>
      </c>
      <c r="X46" s="29">
        <v>25</v>
      </c>
      <c r="Y46" s="15">
        <v>35</v>
      </c>
      <c r="Z46" s="15" t="s">
        <v>584</v>
      </c>
      <c r="AA46" s="15" t="s">
        <v>582</v>
      </c>
      <c r="AB46" s="15" t="s">
        <v>583</v>
      </c>
      <c r="AC46" s="3">
        <v>50000</v>
      </c>
      <c r="AD46" s="14"/>
      <c r="AE46" s="14">
        <v>20</v>
      </c>
      <c r="AF46" s="3">
        <v>80000</v>
      </c>
      <c r="AG46" s="3">
        <f t="shared" si="45"/>
        <v>1600000</v>
      </c>
      <c r="AH46" s="15" t="s">
        <v>587</v>
      </c>
      <c r="AI46" s="50">
        <v>250</v>
      </c>
      <c r="AJ46" s="15">
        <v>1000</v>
      </c>
      <c r="AK46" s="27">
        <v>1000</v>
      </c>
      <c r="AL46" s="15">
        <v>6000</v>
      </c>
      <c r="AM46" s="14"/>
      <c r="AN46" s="15">
        <v>3000</v>
      </c>
      <c r="AO46" s="27"/>
      <c r="AP46" s="15">
        <v>6000</v>
      </c>
      <c r="AQ46" s="2">
        <f t="shared" si="0"/>
        <v>6250000</v>
      </c>
      <c r="AR46" s="14" t="s">
        <v>606</v>
      </c>
      <c r="AS46" s="15" t="s">
        <v>605</v>
      </c>
      <c r="AT46" s="2" t="s">
        <v>139</v>
      </c>
      <c r="AU46" s="13">
        <v>7.5</v>
      </c>
      <c r="AV46" s="3">
        <v>6000</v>
      </c>
      <c r="AW46" s="2">
        <f t="shared" si="126"/>
        <v>45000</v>
      </c>
      <c r="AX46" s="2" t="s">
        <v>139</v>
      </c>
      <c r="AY46" s="13">
        <v>5</v>
      </c>
      <c r="AZ46" s="3">
        <v>6000</v>
      </c>
      <c r="BA46" s="2">
        <f t="shared" si="127"/>
        <v>30000</v>
      </c>
      <c r="BB46" s="2" t="s">
        <v>139</v>
      </c>
      <c r="BC46" s="13">
        <v>2</v>
      </c>
      <c r="BD46" s="3">
        <v>6000</v>
      </c>
      <c r="BE46" s="3">
        <f t="shared" si="128"/>
        <v>12000</v>
      </c>
      <c r="BF46" s="3" t="s">
        <v>125</v>
      </c>
      <c r="BG46" s="2">
        <v>2</v>
      </c>
      <c r="BH46" s="3">
        <v>6000</v>
      </c>
      <c r="BI46" s="3">
        <f t="shared" si="85"/>
        <v>12000</v>
      </c>
      <c r="BJ46" s="3" t="s">
        <v>126</v>
      </c>
      <c r="BK46" s="13"/>
      <c r="BL46" s="3">
        <v>1000</v>
      </c>
      <c r="BM46" s="3">
        <f t="shared" si="129"/>
        <v>0</v>
      </c>
      <c r="BN46" s="13" t="s">
        <v>20</v>
      </c>
      <c r="BO46" s="13"/>
      <c r="BP46" s="2">
        <v>3000</v>
      </c>
      <c r="BQ46" s="3">
        <f>BO46*BP46</f>
        <v>0</v>
      </c>
      <c r="BR46" s="2" t="s">
        <v>126</v>
      </c>
      <c r="BS46" s="13"/>
      <c r="BT46" s="2">
        <f>6000</f>
        <v>6000</v>
      </c>
      <c r="BU46" s="3">
        <f t="shared" si="130"/>
        <v>0</v>
      </c>
      <c r="BV46" s="2" t="s">
        <v>126</v>
      </c>
      <c r="BW46" s="13">
        <v>9</v>
      </c>
      <c r="BX46" s="2">
        <v>6000</v>
      </c>
      <c r="BY46" s="3">
        <f t="shared" si="116"/>
        <v>54000</v>
      </c>
      <c r="BZ46" s="92">
        <f t="shared" si="131"/>
        <v>123000</v>
      </c>
      <c r="CA46" s="2" t="s">
        <v>139</v>
      </c>
      <c r="CB46" s="3">
        <v>5</v>
      </c>
      <c r="CC46" s="3">
        <v>8000</v>
      </c>
      <c r="CD46" s="3">
        <f t="shared" si="10"/>
        <v>40000</v>
      </c>
      <c r="CE46" s="2" t="s">
        <v>139</v>
      </c>
      <c r="CF46" s="2">
        <v>30</v>
      </c>
      <c r="CG46" s="2">
        <v>6000</v>
      </c>
      <c r="CH46" s="3">
        <f t="shared" si="11"/>
        <v>180000</v>
      </c>
      <c r="CI46" s="3" t="s">
        <v>139</v>
      </c>
      <c r="CJ46" s="3">
        <v>1</v>
      </c>
      <c r="CK46" s="14"/>
      <c r="CL46" s="3">
        <f t="shared" si="12"/>
        <v>0</v>
      </c>
      <c r="CM46" s="5">
        <f t="shared" si="13"/>
        <v>220000</v>
      </c>
      <c r="CN46" s="3" t="s">
        <v>125</v>
      </c>
      <c r="CO46" s="3">
        <v>0</v>
      </c>
      <c r="CP46" s="3">
        <v>6000</v>
      </c>
      <c r="CQ46" s="3">
        <f t="shared" si="117"/>
        <v>0</v>
      </c>
      <c r="CR46" s="3" t="s">
        <v>125</v>
      </c>
      <c r="CS46" s="3">
        <v>75</v>
      </c>
      <c r="CT46" s="3">
        <v>6000</v>
      </c>
      <c r="CU46" s="3">
        <f t="shared" si="118"/>
        <v>450000</v>
      </c>
      <c r="CV46" s="3" t="s">
        <v>125</v>
      </c>
      <c r="CW46" s="3">
        <v>30</v>
      </c>
      <c r="CX46" s="3">
        <v>6000</v>
      </c>
      <c r="CY46" s="3">
        <f t="shared" si="119"/>
        <v>180000</v>
      </c>
      <c r="CZ46" s="3" t="s">
        <v>125</v>
      </c>
      <c r="DA46" s="3">
        <v>15</v>
      </c>
      <c r="DB46" s="3">
        <v>6000</v>
      </c>
      <c r="DC46" s="3">
        <f t="shared" si="120"/>
        <v>90000</v>
      </c>
      <c r="DD46" s="3" t="s">
        <v>125</v>
      </c>
      <c r="DE46" s="3">
        <v>5</v>
      </c>
      <c r="DF46" s="3">
        <v>6000</v>
      </c>
      <c r="DG46" s="3">
        <f t="shared" si="121"/>
        <v>30000</v>
      </c>
      <c r="DH46" s="3" t="s">
        <v>125</v>
      </c>
      <c r="DI46" s="3">
        <v>100</v>
      </c>
      <c r="DJ46" s="3">
        <v>6000</v>
      </c>
      <c r="DK46" s="3">
        <f t="shared" si="122"/>
        <v>600000</v>
      </c>
      <c r="DL46" s="3" t="s">
        <v>125</v>
      </c>
      <c r="DM46" s="3"/>
      <c r="DN46" s="3">
        <v>6000</v>
      </c>
      <c r="DO46" s="3">
        <f t="shared" si="123"/>
        <v>0</v>
      </c>
      <c r="DP46" s="3" t="s">
        <v>125</v>
      </c>
      <c r="DQ46" s="3"/>
      <c r="DR46" s="3">
        <v>6000</v>
      </c>
      <c r="DS46" s="3">
        <f t="shared" si="132"/>
        <v>0</v>
      </c>
      <c r="DT46" s="6">
        <f t="shared" si="133"/>
        <v>1350000</v>
      </c>
      <c r="DU46" s="2" t="s">
        <v>157</v>
      </c>
      <c r="DV46" s="3">
        <f t="shared" si="46"/>
        <v>0.25</v>
      </c>
      <c r="DW46" s="3">
        <f t="shared" si="47"/>
        <v>350000</v>
      </c>
      <c r="DX46" s="3">
        <f t="shared" si="23"/>
        <v>87500</v>
      </c>
      <c r="DY46" s="3" t="s">
        <v>127</v>
      </c>
      <c r="DZ46" s="3">
        <f t="shared" si="48"/>
        <v>0</v>
      </c>
      <c r="EA46" s="2">
        <v>50000</v>
      </c>
      <c r="EB46" s="3">
        <f t="shared" si="24"/>
        <v>0</v>
      </c>
      <c r="EC46" s="2" t="s">
        <v>127</v>
      </c>
      <c r="ED46" s="3">
        <f t="shared" si="49"/>
        <v>20</v>
      </c>
      <c r="EE46" s="3">
        <v>80000</v>
      </c>
      <c r="EF46" s="3">
        <f t="shared" si="25"/>
        <v>1600000</v>
      </c>
      <c r="EG46" s="2" t="s">
        <v>157</v>
      </c>
      <c r="EH46" s="3">
        <f t="shared" si="50"/>
        <v>1000</v>
      </c>
      <c r="EI46" s="3">
        <v>6000</v>
      </c>
      <c r="EJ46" s="7">
        <f t="shared" si="124"/>
        <v>6000000</v>
      </c>
      <c r="EK46" s="2" t="s">
        <v>157</v>
      </c>
      <c r="EL46" s="13">
        <f>AM46</f>
        <v>0</v>
      </c>
      <c r="EM46" s="3">
        <v>3000</v>
      </c>
      <c r="EN46" s="3">
        <f t="shared" si="27"/>
        <v>0</v>
      </c>
      <c r="EO46" s="3" t="s">
        <v>126</v>
      </c>
      <c r="EP46" s="3">
        <f t="shared" si="52"/>
        <v>250</v>
      </c>
      <c r="EQ46" s="3">
        <v>1000</v>
      </c>
      <c r="ER46" s="7">
        <f t="shared" si="53"/>
        <v>250000</v>
      </c>
      <c r="ES46" s="3" t="s">
        <v>124</v>
      </c>
      <c r="ET46" s="2">
        <v>1</v>
      </c>
      <c r="EU46" s="3">
        <v>60000</v>
      </c>
      <c r="EV46" s="3">
        <f t="shared" si="28"/>
        <v>60000</v>
      </c>
      <c r="EW46" s="3" t="s">
        <v>124</v>
      </c>
      <c r="EX46" s="14"/>
      <c r="EY46" s="3">
        <v>60000</v>
      </c>
      <c r="EZ46" s="3">
        <f t="shared" si="29"/>
        <v>0</v>
      </c>
      <c r="FA46" s="3" t="s">
        <v>170</v>
      </c>
      <c r="FB46" s="14"/>
      <c r="FC46" s="3">
        <v>1000</v>
      </c>
      <c r="FD46" s="3">
        <f t="shared" si="30"/>
        <v>0</v>
      </c>
      <c r="FE46" s="3" t="s">
        <v>126</v>
      </c>
      <c r="FF46" s="3">
        <f t="shared" si="54"/>
        <v>0</v>
      </c>
      <c r="FG46" s="3">
        <v>6000</v>
      </c>
      <c r="FH46" s="3">
        <f t="shared" si="31"/>
        <v>0</v>
      </c>
      <c r="FI46" s="1">
        <f t="shared" si="32"/>
        <v>7997500</v>
      </c>
      <c r="FJ46" s="3" t="s">
        <v>139</v>
      </c>
      <c r="FK46" s="2">
        <v>40</v>
      </c>
      <c r="FL46" s="2">
        <v>6000</v>
      </c>
      <c r="FM46" s="3">
        <f t="shared" si="33"/>
        <v>240000</v>
      </c>
      <c r="FN46" s="3" t="s">
        <v>139</v>
      </c>
      <c r="FO46" s="14"/>
      <c r="FP46" s="3">
        <v>6000</v>
      </c>
      <c r="FQ46" s="3">
        <f t="shared" si="55"/>
        <v>0</v>
      </c>
      <c r="FR46" s="3" t="s">
        <v>139</v>
      </c>
      <c r="FS46" s="14"/>
      <c r="FT46" s="15">
        <v>6000</v>
      </c>
      <c r="FU46" s="3">
        <f t="shared" si="34"/>
        <v>0</v>
      </c>
      <c r="FV46" s="3" t="s">
        <v>139</v>
      </c>
      <c r="FW46" s="14"/>
      <c r="FX46" s="3">
        <v>8000</v>
      </c>
      <c r="FY46" s="3">
        <f t="shared" si="35"/>
        <v>0</v>
      </c>
      <c r="FZ46" s="3" t="s">
        <v>139</v>
      </c>
      <c r="GA46" s="3">
        <v>2</v>
      </c>
      <c r="GB46" s="3">
        <v>8000</v>
      </c>
      <c r="GC46" s="3">
        <f t="shared" si="36"/>
        <v>16000</v>
      </c>
      <c r="GD46" s="3" t="s">
        <v>139</v>
      </c>
      <c r="GE46" s="3">
        <v>10</v>
      </c>
      <c r="GF46" s="3">
        <v>10000</v>
      </c>
      <c r="GG46" s="3">
        <f t="shared" si="37"/>
        <v>100000</v>
      </c>
      <c r="GH46" s="3" t="s">
        <v>139</v>
      </c>
      <c r="GI46" s="14"/>
      <c r="GJ46" s="14"/>
      <c r="GK46" s="3">
        <f t="shared" si="38"/>
        <v>0</v>
      </c>
      <c r="GL46" s="92">
        <f t="shared" si="39"/>
        <v>356000</v>
      </c>
      <c r="GM46" s="8">
        <f t="shared" si="40"/>
        <v>10046500</v>
      </c>
      <c r="GN46" s="8">
        <f t="shared" si="41"/>
        <v>25000</v>
      </c>
      <c r="GO46" s="102">
        <v>3000</v>
      </c>
      <c r="GP46" s="8">
        <f t="shared" si="56"/>
        <v>75000000</v>
      </c>
      <c r="GQ46" s="8">
        <f t="shared" si="42"/>
        <v>105000000</v>
      </c>
      <c r="GR46" s="8">
        <f t="shared" si="43"/>
        <v>64953500</v>
      </c>
      <c r="GS46" s="8">
        <f t="shared" si="44"/>
        <v>94953500</v>
      </c>
      <c r="GT46" s="15" t="s">
        <v>1772</v>
      </c>
      <c r="GU46" s="49" t="s">
        <v>613</v>
      </c>
    </row>
    <row r="47" spans="1:203" ht="158.25" customHeight="1">
      <c r="A47" s="44">
        <v>48</v>
      </c>
      <c r="B47" s="22" t="s">
        <v>451</v>
      </c>
      <c r="C47" s="14" t="s">
        <v>614</v>
      </c>
      <c r="D47" s="14" t="s">
        <v>452</v>
      </c>
      <c r="E47" s="15" t="s">
        <v>636</v>
      </c>
      <c r="F47" s="15" t="s">
        <v>1710</v>
      </c>
      <c r="G47" s="13" t="s">
        <v>637</v>
      </c>
      <c r="H47" s="13" t="s">
        <v>88</v>
      </c>
      <c r="I47" s="15" t="s">
        <v>638</v>
      </c>
      <c r="J47" s="14" t="s">
        <v>639</v>
      </c>
      <c r="K47" s="13" t="s">
        <v>640</v>
      </c>
      <c r="L47" s="13" t="s">
        <v>641</v>
      </c>
      <c r="M47" s="15" t="s">
        <v>642</v>
      </c>
      <c r="N47" s="14" t="s">
        <v>621</v>
      </c>
      <c r="O47" s="14" t="s">
        <v>643</v>
      </c>
      <c r="P47" s="15" t="s">
        <v>623</v>
      </c>
      <c r="Q47" s="15" t="s">
        <v>624</v>
      </c>
      <c r="R47" s="15">
        <v>1500</v>
      </c>
      <c r="S47" s="15">
        <v>2200</v>
      </c>
      <c r="T47" s="15">
        <v>900</v>
      </c>
      <c r="U47" s="15">
        <v>120</v>
      </c>
      <c r="V47" s="15">
        <v>180</v>
      </c>
      <c r="W47" s="15" t="s">
        <v>644</v>
      </c>
      <c r="X47" s="29">
        <v>10</v>
      </c>
      <c r="Y47" s="15">
        <v>30</v>
      </c>
      <c r="Z47" s="14" t="s">
        <v>628</v>
      </c>
      <c r="AA47" s="15" t="s">
        <v>629</v>
      </c>
      <c r="AB47" s="15" t="s">
        <v>645</v>
      </c>
      <c r="AC47" s="3">
        <v>50000</v>
      </c>
      <c r="AD47" s="15">
        <v>10</v>
      </c>
      <c r="AE47" s="14"/>
      <c r="AF47" s="3">
        <v>80000</v>
      </c>
      <c r="AG47" s="3">
        <f t="shared" si="45"/>
        <v>500000</v>
      </c>
      <c r="AH47" s="14" t="s">
        <v>631</v>
      </c>
      <c r="AI47" s="14">
        <v>1000</v>
      </c>
      <c r="AJ47" s="15">
        <v>1000</v>
      </c>
      <c r="AK47" s="15">
        <v>150</v>
      </c>
      <c r="AL47" s="15">
        <v>6000</v>
      </c>
      <c r="AM47" s="15">
        <v>70</v>
      </c>
      <c r="AN47" s="15">
        <v>3000</v>
      </c>
      <c r="AO47" s="13"/>
      <c r="AP47" s="15">
        <v>6000</v>
      </c>
      <c r="AQ47" s="2">
        <f t="shared" si="0"/>
        <v>2110000</v>
      </c>
      <c r="AR47" s="14" t="s">
        <v>633</v>
      </c>
      <c r="AS47" s="14" t="s">
        <v>634</v>
      </c>
      <c r="AT47" s="3" t="s">
        <v>139</v>
      </c>
      <c r="AU47" s="13"/>
      <c r="AV47" s="3">
        <v>6000</v>
      </c>
      <c r="AW47" s="2">
        <f t="shared" ref="AW47:AW92" si="134">AU47*AV47</f>
        <v>0</v>
      </c>
      <c r="AX47" s="3" t="s">
        <v>139</v>
      </c>
      <c r="AY47" s="13"/>
      <c r="AZ47" s="3">
        <v>6000</v>
      </c>
      <c r="BA47" s="3">
        <f t="shared" si="2"/>
        <v>0</v>
      </c>
      <c r="BB47" s="3" t="s">
        <v>139</v>
      </c>
      <c r="BC47" s="13"/>
      <c r="BD47" s="3">
        <v>6000</v>
      </c>
      <c r="BE47" s="3">
        <f t="shared" si="3"/>
        <v>0</v>
      </c>
      <c r="BF47" s="3" t="s">
        <v>125</v>
      </c>
      <c r="BG47" s="13"/>
      <c r="BH47" s="3">
        <v>6000</v>
      </c>
      <c r="BI47" s="3">
        <f t="shared" si="85"/>
        <v>0</v>
      </c>
      <c r="BJ47" s="3" t="s">
        <v>126</v>
      </c>
      <c r="BK47" s="13"/>
      <c r="BL47" s="3">
        <v>1000</v>
      </c>
      <c r="BM47" s="3">
        <f t="shared" si="62"/>
        <v>0</v>
      </c>
      <c r="BN47" s="13" t="s">
        <v>20</v>
      </c>
      <c r="BO47" s="13"/>
      <c r="BP47" s="2">
        <v>3000</v>
      </c>
      <c r="BQ47" s="13"/>
      <c r="BR47" s="2" t="s">
        <v>126</v>
      </c>
      <c r="BS47" s="13"/>
      <c r="BT47" s="2">
        <f>6000</f>
        <v>6000</v>
      </c>
      <c r="BU47" s="3">
        <f t="shared" ref="BU47:BU70" si="135">BS47*BT47</f>
        <v>0</v>
      </c>
      <c r="BV47" s="2" t="s">
        <v>126</v>
      </c>
      <c r="BW47" s="13"/>
      <c r="BX47" s="2">
        <v>6000</v>
      </c>
      <c r="BY47" s="3">
        <f t="shared" ref="BY47:BY92" si="136">BW47*BX47</f>
        <v>0</v>
      </c>
      <c r="BZ47" s="92">
        <f t="shared" si="9"/>
        <v>0</v>
      </c>
      <c r="CA47" s="2" t="s">
        <v>139</v>
      </c>
      <c r="CB47" s="3">
        <v>5</v>
      </c>
      <c r="CC47" s="3">
        <v>8000</v>
      </c>
      <c r="CD47" s="3">
        <f t="shared" si="10"/>
        <v>40000</v>
      </c>
      <c r="CE47" s="2" t="s">
        <v>139</v>
      </c>
      <c r="CF47" s="2">
        <v>30</v>
      </c>
      <c r="CG47" s="2">
        <v>6000</v>
      </c>
      <c r="CH47" s="3">
        <f t="shared" si="11"/>
        <v>180000</v>
      </c>
      <c r="CI47" s="3" t="s">
        <v>139</v>
      </c>
      <c r="CJ47" s="3">
        <v>1</v>
      </c>
      <c r="CK47" s="13"/>
      <c r="CL47" s="3">
        <f t="shared" si="12"/>
        <v>0</v>
      </c>
      <c r="CM47" s="5">
        <f t="shared" si="13"/>
        <v>220000</v>
      </c>
      <c r="CN47" s="3" t="s">
        <v>125</v>
      </c>
      <c r="CO47" s="3">
        <v>0</v>
      </c>
      <c r="CP47" s="3">
        <v>6000</v>
      </c>
      <c r="CQ47" s="3">
        <f t="shared" ref="CQ47:CQ58" si="137">CO47*CP47</f>
        <v>0</v>
      </c>
      <c r="CR47" s="3" t="s">
        <v>125</v>
      </c>
      <c r="CS47" s="3">
        <v>75</v>
      </c>
      <c r="CT47" s="3">
        <v>6000</v>
      </c>
      <c r="CU47" s="3">
        <f t="shared" ref="CU47:CU58" si="138">CS47*CT47</f>
        <v>450000</v>
      </c>
      <c r="CV47" s="3" t="s">
        <v>125</v>
      </c>
      <c r="CW47" s="3">
        <v>30</v>
      </c>
      <c r="CX47" s="3">
        <v>6000</v>
      </c>
      <c r="CY47" s="3">
        <f t="shared" ref="CY47:CY58" si="139">CW47*CX47</f>
        <v>180000</v>
      </c>
      <c r="CZ47" s="3" t="s">
        <v>125</v>
      </c>
      <c r="DA47" s="3">
        <v>15</v>
      </c>
      <c r="DB47" s="3">
        <v>6000</v>
      </c>
      <c r="DC47" s="3">
        <f t="shared" ref="DC47:DC58" si="140">DA47*DB47</f>
        <v>90000</v>
      </c>
      <c r="DD47" s="3" t="s">
        <v>125</v>
      </c>
      <c r="DE47" s="3">
        <v>5</v>
      </c>
      <c r="DF47" s="3">
        <v>6000</v>
      </c>
      <c r="DG47" s="3">
        <f t="shared" ref="DG47:DG58" si="141">DE47*DF47</f>
        <v>30000</v>
      </c>
      <c r="DH47" s="3" t="s">
        <v>125</v>
      </c>
      <c r="DI47" s="3">
        <v>100</v>
      </c>
      <c r="DJ47" s="3">
        <v>6000</v>
      </c>
      <c r="DK47" s="3">
        <f t="shared" ref="DK47:DK58" si="142">DI47*DJ47</f>
        <v>600000</v>
      </c>
      <c r="DL47" s="3" t="s">
        <v>125</v>
      </c>
      <c r="DM47" s="3"/>
      <c r="DN47" s="3">
        <v>6000</v>
      </c>
      <c r="DO47" s="3">
        <f t="shared" ref="DO47:DO58" si="143">DM47*DN47</f>
        <v>0</v>
      </c>
      <c r="DP47" s="3" t="s">
        <v>125</v>
      </c>
      <c r="DQ47" s="3"/>
      <c r="DR47" s="3">
        <v>6000</v>
      </c>
      <c r="DS47" s="3">
        <f t="shared" ref="DS47:DS58" si="144">DQ47*DR47</f>
        <v>0</v>
      </c>
      <c r="DT47" s="6">
        <f t="shared" ref="DT47:DT58" si="145">CQ47+CU47+CY47+DC47+DG47+DK47+DO47+DS47</f>
        <v>1350000</v>
      </c>
      <c r="DU47" s="2" t="s">
        <v>157</v>
      </c>
      <c r="DV47" s="3">
        <f t="shared" si="46"/>
        <v>1500</v>
      </c>
      <c r="DW47" s="3">
        <f t="shared" si="47"/>
        <v>900</v>
      </c>
      <c r="DX47" s="3">
        <f t="shared" si="23"/>
        <v>1350000</v>
      </c>
      <c r="DY47" s="3" t="s">
        <v>127</v>
      </c>
      <c r="DZ47" s="3">
        <f t="shared" si="48"/>
        <v>10</v>
      </c>
      <c r="EA47" s="2">
        <v>50000</v>
      </c>
      <c r="EB47" s="3">
        <f t="shared" si="24"/>
        <v>500000</v>
      </c>
      <c r="EC47" s="2" t="s">
        <v>127</v>
      </c>
      <c r="ED47" s="3">
        <f t="shared" si="49"/>
        <v>0</v>
      </c>
      <c r="EE47" s="3">
        <v>80000</v>
      </c>
      <c r="EF47" s="3">
        <f t="shared" si="25"/>
        <v>0</v>
      </c>
      <c r="EG47" s="2" t="s">
        <v>157</v>
      </c>
      <c r="EH47" s="3">
        <f t="shared" si="50"/>
        <v>150</v>
      </c>
      <c r="EI47" s="3">
        <v>6000</v>
      </c>
      <c r="EJ47" s="7">
        <f t="shared" si="124"/>
        <v>900000</v>
      </c>
      <c r="EK47" s="2" t="s">
        <v>157</v>
      </c>
      <c r="EL47" s="13"/>
      <c r="EM47" s="3">
        <v>3000</v>
      </c>
      <c r="EN47" s="3">
        <f t="shared" si="27"/>
        <v>0</v>
      </c>
      <c r="EO47" s="3" t="s">
        <v>126</v>
      </c>
      <c r="EP47" s="3">
        <f t="shared" si="52"/>
        <v>1000</v>
      </c>
      <c r="EQ47" s="3">
        <v>1000</v>
      </c>
      <c r="ER47" s="7">
        <f t="shared" si="53"/>
        <v>1000000</v>
      </c>
      <c r="ES47" s="3" t="s">
        <v>124</v>
      </c>
      <c r="ET47" s="2">
        <v>1</v>
      </c>
      <c r="EU47" s="3">
        <v>60000</v>
      </c>
      <c r="EV47" s="3">
        <f t="shared" si="28"/>
        <v>60000</v>
      </c>
      <c r="EW47" s="3" t="s">
        <v>124</v>
      </c>
      <c r="EX47" s="13"/>
      <c r="EY47" s="3">
        <v>60000</v>
      </c>
      <c r="EZ47" s="3">
        <f t="shared" si="29"/>
        <v>0</v>
      </c>
      <c r="FA47" s="3" t="s">
        <v>170</v>
      </c>
      <c r="FB47" s="13"/>
      <c r="FC47" s="3">
        <v>1000</v>
      </c>
      <c r="FD47" s="3">
        <f t="shared" si="30"/>
        <v>0</v>
      </c>
      <c r="FE47" s="3" t="s">
        <v>126</v>
      </c>
      <c r="FF47" s="3">
        <f t="shared" si="54"/>
        <v>0</v>
      </c>
      <c r="FG47" s="3">
        <v>6000</v>
      </c>
      <c r="FH47" s="3">
        <f t="shared" si="31"/>
        <v>0</v>
      </c>
      <c r="FI47" s="1">
        <f t="shared" si="32"/>
        <v>3810000</v>
      </c>
      <c r="FJ47" s="3" t="s">
        <v>139</v>
      </c>
      <c r="FK47" s="2">
        <v>40</v>
      </c>
      <c r="FL47" s="2">
        <v>6000</v>
      </c>
      <c r="FM47" s="3">
        <f t="shared" si="33"/>
        <v>240000</v>
      </c>
      <c r="FN47" s="3" t="s">
        <v>139</v>
      </c>
      <c r="FO47" s="13"/>
      <c r="FP47" s="3">
        <v>6000</v>
      </c>
      <c r="FQ47" s="3">
        <f t="shared" si="55"/>
        <v>0</v>
      </c>
      <c r="FR47" s="3" t="s">
        <v>139</v>
      </c>
      <c r="FS47" s="13"/>
      <c r="FT47" s="15">
        <v>6000</v>
      </c>
      <c r="FU47" s="3">
        <f t="shared" si="34"/>
        <v>0</v>
      </c>
      <c r="FV47" s="3" t="s">
        <v>139</v>
      </c>
      <c r="FW47" s="13"/>
      <c r="FX47" s="3">
        <v>8000</v>
      </c>
      <c r="FY47" s="3">
        <f t="shared" si="35"/>
        <v>0</v>
      </c>
      <c r="FZ47" s="3" t="s">
        <v>139</v>
      </c>
      <c r="GA47" s="3">
        <v>2</v>
      </c>
      <c r="GB47" s="3">
        <v>8000</v>
      </c>
      <c r="GC47" s="3">
        <f t="shared" si="36"/>
        <v>16000</v>
      </c>
      <c r="GD47" s="3" t="s">
        <v>139</v>
      </c>
      <c r="GE47" s="3">
        <v>10</v>
      </c>
      <c r="GF47" s="3">
        <v>10000</v>
      </c>
      <c r="GG47" s="3">
        <f t="shared" si="37"/>
        <v>100000</v>
      </c>
      <c r="GH47" s="3" t="s">
        <v>139</v>
      </c>
      <c r="GI47" s="13"/>
      <c r="GJ47" s="13"/>
      <c r="GK47" s="3">
        <f t="shared" si="38"/>
        <v>0</v>
      </c>
      <c r="GL47" s="92">
        <f t="shared" si="39"/>
        <v>356000</v>
      </c>
      <c r="GM47" s="8">
        <f t="shared" si="40"/>
        <v>5736000</v>
      </c>
      <c r="GN47" s="8">
        <f t="shared" si="41"/>
        <v>10000</v>
      </c>
      <c r="GO47" s="101">
        <v>1200</v>
      </c>
      <c r="GP47" s="8">
        <f t="shared" si="56"/>
        <v>12000000</v>
      </c>
      <c r="GQ47" s="8">
        <f t="shared" si="42"/>
        <v>36000000</v>
      </c>
      <c r="GR47" s="8">
        <f t="shared" si="43"/>
        <v>6264000</v>
      </c>
      <c r="GS47" s="8">
        <f t="shared" si="44"/>
        <v>30264000</v>
      </c>
      <c r="GT47" s="15" t="s">
        <v>1773</v>
      </c>
      <c r="GU47" s="48" t="s">
        <v>646</v>
      </c>
    </row>
    <row r="48" spans="1:203" ht="158.25" customHeight="1">
      <c r="A48" s="44">
        <v>49</v>
      </c>
      <c r="B48" s="22" t="s">
        <v>451</v>
      </c>
      <c r="C48" s="14" t="s">
        <v>647</v>
      </c>
      <c r="D48" s="14" t="s">
        <v>453</v>
      </c>
      <c r="E48" s="15" t="s">
        <v>648</v>
      </c>
      <c r="F48" s="15" t="s">
        <v>1711</v>
      </c>
      <c r="G48" s="15" t="s">
        <v>649</v>
      </c>
      <c r="H48" s="13" t="s">
        <v>88</v>
      </c>
      <c r="I48" s="15" t="s">
        <v>650</v>
      </c>
      <c r="J48" s="14" t="s">
        <v>651</v>
      </c>
      <c r="K48" s="15" t="s">
        <v>652</v>
      </c>
      <c r="L48" s="15" t="s">
        <v>653</v>
      </c>
      <c r="M48" s="15" t="s">
        <v>654</v>
      </c>
      <c r="N48" s="14" t="s">
        <v>621</v>
      </c>
      <c r="O48" s="15" t="s">
        <v>655</v>
      </c>
      <c r="P48" s="15" t="s">
        <v>623</v>
      </c>
      <c r="Q48" s="15" t="s">
        <v>624</v>
      </c>
      <c r="R48" s="15">
        <v>1200</v>
      </c>
      <c r="S48" s="15">
        <v>1800</v>
      </c>
      <c r="T48" s="15">
        <v>800</v>
      </c>
      <c r="U48" s="15">
        <v>110</v>
      </c>
      <c r="V48" s="15">
        <v>170</v>
      </c>
      <c r="W48" s="15" t="s">
        <v>627</v>
      </c>
      <c r="X48" s="29">
        <v>9</v>
      </c>
      <c r="Y48" s="15">
        <v>25</v>
      </c>
      <c r="Z48" s="14" t="s">
        <v>628</v>
      </c>
      <c r="AA48" s="15" t="s">
        <v>629</v>
      </c>
      <c r="AB48" s="15" t="s">
        <v>630</v>
      </c>
      <c r="AC48" s="3">
        <v>50000</v>
      </c>
      <c r="AD48" s="15">
        <v>10</v>
      </c>
      <c r="AE48" s="14"/>
      <c r="AF48" s="3">
        <v>80000</v>
      </c>
      <c r="AG48" s="3">
        <f t="shared" si="45"/>
        <v>500000</v>
      </c>
      <c r="AH48" s="14" t="s">
        <v>631</v>
      </c>
      <c r="AI48" s="14">
        <v>1000</v>
      </c>
      <c r="AJ48" s="15">
        <v>1000</v>
      </c>
      <c r="AK48" s="15">
        <v>150</v>
      </c>
      <c r="AL48" s="15">
        <v>6000</v>
      </c>
      <c r="AM48" s="15">
        <v>70</v>
      </c>
      <c r="AN48" s="15">
        <v>3000</v>
      </c>
      <c r="AO48" s="13"/>
      <c r="AP48" s="15">
        <v>6000</v>
      </c>
      <c r="AQ48" s="2">
        <f t="shared" si="0"/>
        <v>2110000</v>
      </c>
      <c r="AR48" s="14" t="s">
        <v>633</v>
      </c>
      <c r="AS48" s="14" t="s">
        <v>634</v>
      </c>
      <c r="AT48" s="3" t="s">
        <v>139</v>
      </c>
      <c r="AU48" s="13"/>
      <c r="AV48" s="3">
        <v>6000</v>
      </c>
      <c r="AW48" s="2">
        <f t="shared" si="134"/>
        <v>0</v>
      </c>
      <c r="AX48" s="3" t="s">
        <v>139</v>
      </c>
      <c r="AY48" s="13"/>
      <c r="AZ48" s="3">
        <v>6000</v>
      </c>
      <c r="BA48" s="3">
        <f t="shared" si="2"/>
        <v>0</v>
      </c>
      <c r="BB48" s="3" t="s">
        <v>139</v>
      </c>
      <c r="BC48" s="13"/>
      <c r="BD48" s="3">
        <v>6000</v>
      </c>
      <c r="BE48" s="3">
        <f t="shared" si="3"/>
        <v>0</v>
      </c>
      <c r="BF48" s="3" t="s">
        <v>125</v>
      </c>
      <c r="BG48" s="13"/>
      <c r="BH48" s="3">
        <v>6000</v>
      </c>
      <c r="BI48" s="3">
        <f t="shared" si="85"/>
        <v>0</v>
      </c>
      <c r="BJ48" s="3" t="s">
        <v>126</v>
      </c>
      <c r="BK48" s="13"/>
      <c r="BL48" s="3">
        <v>1000</v>
      </c>
      <c r="BM48" s="3">
        <f t="shared" si="62"/>
        <v>0</v>
      </c>
      <c r="BN48" s="13" t="s">
        <v>20</v>
      </c>
      <c r="BO48" s="13"/>
      <c r="BP48" s="2">
        <v>3000</v>
      </c>
      <c r="BQ48" s="13"/>
      <c r="BR48" s="2" t="s">
        <v>126</v>
      </c>
      <c r="BS48" s="13"/>
      <c r="BT48" s="2">
        <f>6000</f>
        <v>6000</v>
      </c>
      <c r="BU48" s="3">
        <f t="shared" si="135"/>
        <v>0</v>
      </c>
      <c r="BV48" s="2" t="s">
        <v>126</v>
      </c>
      <c r="BW48" s="13"/>
      <c r="BX48" s="2">
        <v>6000</v>
      </c>
      <c r="BY48" s="3">
        <f t="shared" si="136"/>
        <v>0</v>
      </c>
      <c r="BZ48" s="92">
        <f t="shared" si="9"/>
        <v>0</v>
      </c>
      <c r="CA48" s="2" t="s">
        <v>139</v>
      </c>
      <c r="CB48" s="3">
        <v>5</v>
      </c>
      <c r="CC48" s="3">
        <v>8000</v>
      </c>
      <c r="CD48" s="3">
        <f t="shared" si="10"/>
        <v>40000</v>
      </c>
      <c r="CE48" s="2" t="s">
        <v>139</v>
      </c>
      <c r="CF48" s="2">
        <v>30</v>
      </c>
      <c r="CG48" s="2">
        <v>6000</v>
      </c>
      <c r="CH48" s="3">
        <f t="shared" si="11"/>
        <v>180000</v>
      </c>
      <c r="CI48" s="3" t="s">
        <v>139</v>
      </c>
      <c r="CJ48" s="3">
        <v>1</v>
      </c>
      <c r="CK48" s="13"/>
      <c r="CL48" s="3">
        <f t="shared" si="12"/>
        <v>0</v>
      </c>
      <c r="CM48" s="5">
        <f t="shared" si="13"/>
        <v>220000</v>
      </c>
      <c r="CN48" s="3" t="s">
        <v>125</v>
      </c>
      <c r="CO48" s="3">
        <v>0</v>
      </c>
      <c r="CP48" s="3">
        <v>6000</v>
      </c>
      <c r="CQ48" s="3">
        <f t="shared" si="137"/>
        <v>0</v>
      </c>
      <c r="CR48" s="3" t="s">
        <v>125</v>
      </c>
      <c r="CS48" s="3">
        <v>75</v>
      </c>
      <c r="CT48" s="3">
        <v>6000</v>
      </c>
      <c r="CU48" s="3">
        <f t="shared" si="138"/>
        <v>450000</v>
      </c>
      <c r="CV48" s="3" t="s">
        <v>125</v>
      </c>
      <c r="CW48" s="3">
        <v>30</v>
      </c>
      <c r="CX48" s="3">
        <v>6000</v>
      </c>
      <c r="CY48" s="3">
        <f t="shared" si="139"/>
        <v>180000</v>
      </c>
      <c r="CZ48" s="3" t="s">
        <v>125</v>
      </c>
      <c r="DA48" s="3">
        <v>15</v>
      </c>
      <c r="DB48" s="3">
        <v>6000</v>
      </c>
      <c r="DC48" s="3">
        <f t="shared" si="140"/>
        <v>90000</v>
      </c>
      <c r="DD48" s="3" t="s">
        <v>125</v>
      </c>
      <c r="DE48" s="3">
        <v>5</v>
      </c>
      <c r="DF48" s="3">
        <v>6000</v>
      </c>
      <c r="DG48" s="3">
        <f t="shared" si="141"/>
        <v>30000</v>
      </c>
      <c r="DH48" s="3" t="s">
        <v>125</v>
      </c>
      <c r="DI48" s="3">
        <v>100</v>
      </c>
      <c r="DJ48" s="3">
        <v>6000</v>
      </c>
      <c r="DK48" s="3">
        <f t="shared" si="142"/>
        <v>600000</v>
      </c>
      <c r="DL48" s="3" t="s">
        <v>125</v>
      </c>
      <c r="DM48" s="3"/>
      <c r="DN48" s="3">
        <v>6000</v>
      </c>
      <c r="DO48" s="3">
        <f t="shared" si="143"/>
        <v>0</v>
      </c>
      <c r="DP48" s="3" t="s">
        <v>125</v>
      </c>
      <c r="DQ48" s="3"/>
      <c r="DR48" s="3">
        <v>6000</v>
      </c>
      <c r="DS48" s="3">
        <f t="shared" si="144"/>
        <v>0</v>
      </c>
      <c r="DT48" s="6">
        <f t="shared" si="145"/>
        <v>1350000</v>
      </c>
      <c r="DU48" s="2" t="s">
        <v>157</v>
      </c>
      <c r="DV48" s="3">
        <f t="shared" si="46"/>
        <v>1200</v>
      </c>
      <c r="DW48" s="3">
        <f t="shared" si="47"/>
        <v>800</v>
      </c>
      <c r="DX48" s="3">
        <f t="shared" si="23"/>
        <v>960000</v>
      </c>
      <c r="DY48" s="3" t="s">
        <v>127</v>
      </c>
      <c r="DZ48" s="3">
        <f t="shared" si="48"/>
        <v>10</v>
      </c>
      <c r="EA48" s="2">
        <v>50000</v>
      </c>
      <c r="EB48" s="3">
        <f t="shared" si="24"/>
        <v>500000</v>
      </c>
      <c r="EC48" s="2" t="s">
        <v>127</v>
      </c>
      <c r="ED48" s="3">
        <f t="shared" si="49"/>
        <v>0</v>
      </c>
      <c r="EE48" s="3">
        <v>80000</v>
      </c>
      <c r="EF48" s="3">
        <f t="shared" si="25"/>
        <v>0</v>
      </c>
      <c r="EG48" s="2" t="s">
        <v>157</v>
      </c>
      <c r="EH48" s="3">
        <f t="shared" si="50"/>
        <v>150</v>
      </c>
      <c r="EI48" s="3">
        <v>6000</v>
      </c>
      <c r="EJ48" s="7">
        <f t="shared" si="124"/>
        <v>900000</v>
      </c>
      <c r="EK48" s="2" t="s">
        <v>157</v>
      </c>
      <c r="EL48" s="13"/>
      <c r="EM48" s="3">
        <v>3000</v>
      </c>
      <c r="EN48" s="3">
        <f t="shared" si="27"/>
        <v>0</v>
      </c>
      <c r="EO48" s="3" t="s">
        <v>126</v>
      </c>
      <c r="EP48" s="3">
        <f t="shared" si="52"/>
        <v>1000</v>
      </c>
      <c r="EQ48" s="3">
        <v>1000</v>
      </c>
      <c r="ER48" s="7">
        <f t="shared" si="53"/>
        <v>1000000</v>
      </c>
      <c r="ES48" s="3" t="s">
        <v>124</v>
      </c>
      <c r="ET48" s="2">
        <v>1</v>
      </c>
      <c r="EU48" s="3">
        <v>60000</v>
      </c>
      <c r="EV48" s="3">
        <f t="shared" si="28"/>
        <v>60000</v>
      </c>
      <c r="EW48" s="3" t="s">
        <v>124</v>
      </c>
      <c r="EX48" s="13"/>
      <c r="EY48" s="3">
        <v>60000</v>
      </c>
      <c r="EZ48" s="3">
        <f t="shared" si="29"/>
        <v>0</v>
      </c>
      <c r="FA48" s="3" t="s">
        <v>170</v>
      </c>
      <c r="FB48" s="13"/>
      <c r="FC48" s="3">
        <v>1000</v>
      </c>
      <c r="FD48" s="3">
        <f t="shared" si="30"/>
        <v>0</v>
      </c>
      <c r="FE48" s="3" t="s">
        <v>126</v>
      </c>
      <c r="FF48" s="3">
        <f t="shared" si="54"/>
        <v>0</v>
      </c>
      <c r="FG48" s="3">
        <v>6000</v>
      </c>
      <c r="FH48" s="3">
        <f t="shared" si="31"/>
        <v>0</v>
      </c>
      <c r="FI48" s="1">
        <f t="shared" si="32"/>
        <v>3420000</v>
      </c>
      <c r="FJ48" s="3" t="s">
        <v>139</v>
      </c>
      <c r="FK48" s="2">
        <v>40</v>
      </c>
      <c r="FL48" s="2">
        <v>6000</v>
      </c>
      <c r="FM48" s="3">
        <f t="shared" si="33"/>
        <v>240000</v>
      </c>
      <c r="FN48" s="3" t="s">
        <v>139</v>
      </c>
      <c r="FO48" s="13"/>
      <c r="FP48" s="3">
        <v>6000</v>
      </c>
      <c r="FQ48" s="3">
        <f t="shared" si="55"/>
        <v>0</v>
      </c>
      <c r="FR48" s="3" t="s">
        <v>139</v>
      </c>
      <c r="FS48" s="13"/>
      <c r="FT48" s="15">
        <v>6000</v>
      </c>
      <c r="FU48" s="3">
        <f t="shared" si="34"/>
        <v>0</v>
      </c>
      <c r="FV48" s="3" t="s">
        <v>139</v>
      </c>
      <c r="FW48" s="13"/>
      <c r="FX48" s="3">
        <v>8000</v>
      </c>
      <c r="FY48" s="3">
        <f t="shared" si="35"/>
        <v>0</v>
      </c>
      <c r="FZ48" s="3" t="s">
        <v>139</v>
      </c>
      <c r="GA48" s="3">
        <v>2</v>
      </c>
      <c r="GB48" s="3">
        <v>8000</v>
      </c>
      <c r="GC48" s="3">
        <f t="shared" si="36"/>
        <v>16000</v>
      </c>
      <c r="GD48" s="3" t="s">
        <v>139</v>
      </c>
      <c r="GE48" s="3">
        <v>10</v>
      </c>
      <c r="GF48" s="3">
        <v>10000</v>
      </c>
      <c r="GG48" s="3">
        <f t="shared" si="37"/>
        <v>100000</v>
      </c>
      <c r="GH48" s="3" t="s">
        <v>139</v>
      </c>
      <c r="GI48" s="13"/>
      <c r="GJ48" s="13"/>
      <c r="GK48" s="3">
        <f t="shared" si="38"/>
        <v>0</v>
      </c>
      <c r="GL48" s="92">
        <f t="shared" si="39"/>
        <v>356000</v>
      </c>
      <c r="GM48" s="8">
        <f t="shared" si="40"/>
        <v>5346000</v>
      </c>
      <c r="GN48" s="8">
        <f t="shared" si="41"/>
        <v>9000</v>
      </c>
      <c r="GO48" s="101">
        <v>1300</v>
      </c>
      <c r="GP48" s="8">
        <f t="shared" si="56"/>
        <v>11700000</v>
      </c>
      <c r="GQ48" s="8">
        <f t="shared" si="42"/>
        <v>32500000</v>
      </c>
      <c r="GR48" s="8">
        <f t="shared" si="43"/>
        <v>6354000</v>
      </c>
      <c r="GS48" s="8">
        <f t="shared" si="44"/>
        <v>27154000</v>
      </c>
      <c r="GT48" s="15" t="s">
        <v>1774</v>
      </c>
      <c r="GU48" s="48" t="s">
        <v>656</v>
      </c>
    </row>
    <row r="49" spans="1:203" ht="158.25" customHeight="1">
      <c r="A49" s="44">
        <v>50</v>
      </c>
      <c r="B49" s="22" t="s">
        <v>451</v>
      </c>
      <c r="C49" s="14" t="s">
        <v>454</v>
      </c>
      <c r="D49" s="14" t="s">
        <v>455</v>
      </c>
      <c r="E49" s="14" t="s">
        <v>657</v>
      </c>
      <c r="F49" s="15" t="s">
        <v>1712</v>
      </c>
      <c r="G49" s="15" t="s">
        <v>658</v>
      </c>
      <c r="H49" s="13" t="s">
        <v>88</v>
      </c>
      <c r="I49" s="15" t="s">
        <v>659</v>
      </c>
      <c r="J49" s="15" t="s">
        <v>660</v>
      </c>
      <c r="K49" s="15" t="s">
        <v>661</v>
      </c>
      <c r="L49" s="15" t="s">
        <v>662</v>
      </c>
      <c r="M49" s="15" t="s">
        <v>663</v>
      </c>
      <c r="N49" s="14" t="s">
        <v>621</v>
      </c>
      <c r="O49" s="15" t="s">
        <v>664</v>
      </c>
      <c r="P49" s="15" t="s">
        <v>623</v>
      </c>
      <c r="Q49" s="15" t="s">
        <v>624</v>
      </c>
      <c r="R49" s="15">
        <v>1200</v>
      </c>
      <c r="S49" s="15">
        <v>1800</v>
      </c>
      <c r="T49" s="15">
        <v>800</v>
      </c>
      <c r="U49" s="15">
        <v>110</v>
      </c>
      <c r="V49" s="15">
        <v>150</v>
      </c>
      <c r="W49" s="15" t="s">
        <v>627</v>
      </c>
      <c r="X49" s="29">
        <v>12</v>
      </c>
      <c r="Y49" s="15">
        <v>25</v>
      </c>
      <c r="Z49" s="14" t="s">
        <v>628</v>
      </c>
      <c r="AA49" s="15" t="s">
        <v>629</v>
      </c>
      <c r="AB49" s="15" t="s">
        <v>665</v>
      </c>
      <c r="AC49" s="3">
        <v>50000</v>
      </c>
      <c r="AD49" s="15">
        <v>10</v>
      </c>
      <c r="AE49" s="14"/>
      <c r="AF49" s="3">
        <v>80000</v>
      </c>
      <c r="AG49" s="3">
        <f t="shared" si="45"/>
        <v>500000</v>
      </c>
      <c r="AH49" s="14" t="s">
        <v>632</v>
      </c>
      <c r="AI49" s="14">
        <v>1000</v>
      </c>
      <c r="AJ49" s="15">
        <v>1000</v>
      </c>
      <c r="AK49" s="15">
        <v>150</v>
      </c>
      <c r="AL49" s="15">
        <v>6000</v>
      </c>
      <c r="AM49" s="15">
        <v>70</v>
      </c>
      <c r="AN49" s="15">
        <v>3000</v>
      </c>
      <c r="AO49" s="13"/>
      <c r="AP49" s="15">
        <v>6000</v>
      </c>
      <c r="AQ49" s="2">
        <f t="shared" si="0"/>
        <v>2110000</v>
      </c>
      <c r="AR49" s="14" t="s">
        <v>633</v>
      </c>
      <c r="AS49" s="14" t="s">
        <v>634</v>
      </c>
      <c r="AT49" s="3" t="s">
        <v>139</v>
      </c>
      <c r="AU49" s="13"/>
      <c r="AV49" s="3">
        <v>6000</v>
      </c>
      <c r="AW49" s="2">
        <f t="shared" si="134"/>
        <v>0</v>
      </c>
      <c r="AX49" s="3" t="s">
        <v>139</v>
      </c>
      <c r="AY49" s="13"/>
      <c r="AZ49" s="3">
        <v>6000</v>
      </c>
      <c r="BA49" s="3">
        <f t="shared" si="2"/>
        <v>0</v>
      </c>
      <c r="BB49" s="3" t="s">
        <v>139</v>
      </c>
      <c r="BC49" s="13"/>
      <c r="BD49" s="3">
        <v>6000</v>
      </c>
      <c r="BE49" s="3">
        <f t="shared" si="3"/>
        <v>0</v>
      </c>
      <c r="BF49" s="3" t="s">
        <v>125</v>
      </c>
      <c r="BG49" s="13"/>
      <c r="BH49" s="3">
        <v>6000</v>
      </c>
      <c r="BI49" s="3">
        <f t="shared" si="85"/>
        <v>0</v>
      </c>
      <c r="BJ49" s="3" t="s">
        <v>126</v>
      </c>
      <c r="BK49" s="13"/>
      <c r="BL49" s="3">
        <v>1000</v>
      </c>
      <c r="BM49" s="3">
        <f t="shared" si="62"/>
        <v>0</v>
      </c>
      <c r="BN49" s="13" t="s">
        <v>20</v>
      </c>
      <c r="BO49" s="13"/>
      <c r="BP49" s="2">
        <v>3000</v>
      </c>
      <c r="BQ49" s="13"/>
      <c r="BR49" s="2" t="s">
        <v>126</v>
      </c>
      <c r="BS49" s="13"/>
      <c r="BT49" s="2">
        <f>6000</f>
        <v>6000</v>
      </c>
      <c r="BU49" s="3">
        <f t="shared" si="135"/>
        <v>0</v>
      </c>
      <c r="BV49" s="2" t="s">
        <v>126</v>
      </c>
      <c r="BW49" s="13"/>
      <c r="BX49" s="2">
        <v>6000</v>
      </c>
      <c r="BY49" s="3">
        <f t="shared" si="136"/>
        <v>0</v>
      </c>
      <c r="BZ49" s="92">
        <f t="shared" si="9"/>
        <v>0</v>
      </c>
      <c r="CA49" s="2" t="s">
        <v>139</v>
      </c>
      <c r="CB49" s="3">
        <v>5</v>
      </c>
      <c r="CC49" s="3">
        <v>8000</v>
      </c>
      <c r="CD49" s="3">
        <f t="shared" si="10"/>
        <v>40000</v>
      </c>
      <c r="CE49" s="2" t="s">
        <v>139</v>
      </c>
      <c r="CF49" s="2">
        <v>30</v>
      </c>
      <c r="CG49" s="2">
        <v>6000</v>
      </c>
      <c r="CH49" s="3">
        <f t="shared" si="11"/>
        <v>180000</v>
      </c>
      <c r="CI49" s="3" t="s">
        <v>139</v>
      </c>
      <c r="CJ49" s="3">
        <v>1</v>
      </c>
      <c r="CK49" s="13"/>
      <c r="CL49" s="3">
        <f t="shared" si="12"/>
        <v>0</v>
      </c>
      <c r="CM49" s="5">
        <f t="shared" si="13"/>
        <v>220000</v>
      </c>
      <c r="CN49" s="3" t="s">
        <v>125</v>
      </c>
      <c r="CO49" s="3">
        <v>0</v>
      </c>
      <c r="CP49" s="3">
        <v>6000</v>
      </c>
      <c r="CQ49" s="3">
        <f t="shared" si="137"/>
        <v>0</v>
      </c>
      <c r="CR49" s="3" t="s">
        <v>125</v>
      </c>
      <c r="CS49" s="3">
        <v>75</v>
      </c>
      <c r="CT49" s="3">
        <v>6000</v>
      </c>
      <c r="CU49" s="3">
        <f t="shared" si="138"/>
        <v>450000</v>
      </c>
      <c r="CV49" s="3" t="s">
        <v>125</v>
      </c>
      <c r="CW49" s="3">
        <v>30</v>
      </c>
      <c r="CX49" s="3">
        <v>6000</v>
      </c>
      <c r="CY49" s="3">
        <f t="shared" si="139"/>
        <v>180000</v>
      </c>
      <c r="CZ49" s="3" t="s">
        <v>125</v>
      </c>
      <c r="DA49" s="3">
        <v>15</v>
      </c>
      <c r="DB49" s="3">
        <v>6000</v>
      </c>
      <c r="DC49" s="3">
        <f t="shared" si="140"/>
        <v>90000</v>
      </c>
      <c r="DD49" s="3" t="s">
        <v>125</v>
      </c>
      <c r="DE49" s="3">
        <v>5</v>
      </c>
      <c r="DF49" s="3">
        <v>6000</v>
      </c>
      <c r="DG49" s="3">
        <f t="shared" si="141"/>
        <v>30000</v>
      </c>
      <c r="DH49" s="3" t="s">
        <v>125</v>
      </c>
      <c r="DI49" s="3">
        <v>100</v>
      </c>
      <c r="DJ49" s="3">
        <v>6000</v>
      </c>
      <c r="DK49" s="3">
        <f t="shared" si="142"/>
        <v>600000</v>
      </c>
      <c r="DL49" s="3" t="s">
        <v>125</v>
      </c>
      <c r="DM49" s="3"/>
      <c r="DN49" s="3">
        <v>6000</v>
      </c>
      <c r="DO49" s="3">
        <f t="shared" si="143"/>
        <v>0</v>
      </c>
      <c r="DP49" s="3" t="s">
        <v>125</v>
      </c>
      <c r="DQ49" s="3"/>
      <c r="DR49" s="3">
        <v>6000</v>
      </c>
      <c r="DS49" s="3">
        <f t="shared" si="144"/>
        <v>0</v>
      </c>
      <c r="DT49" s="6">
        <f t="shared" si="145"/>
        <v>1350000</v>
      </c>
      <c r="DU49" s="2" t="s">
        <v>157</v>
      </c>
      <c r="DV49" s="3">
        <f t="shared" si="46"/>
        <v>1200</v>
      </c>
      <c r="DW49" s="3">
        <f t="shared" si="47"/>
        <v>800</v>
      </c>
      <c r="DX49" s="3">
        <f t="shared" si="23"/>
        <v>960000</v>
      </c>
      <c r="DY49" s="3" t="s">
        <v>127</v>
      </c>
      <c r="DZ49" s="3">
        <f t="shared" si="48"/>
        <v>10</v>
      </c>
      <c r="EA49" s="2">
        <v>50000</v>
      </c>
      <c r="EB49" s="3">
        <f t="shared" si="24"/>
        <v>500000</v>
      </c>
      <c r="EC49" s="2" t="s">
        <v>127</v>
      </c>
      <c r="ED49" s="3">
        <f t="shared" si="49"/>
        <v>0</v>
      </c>
      <c r="EE49" s="3">
        <v>80000</v>
      </c>
      <c r="EF49" s="3">
        <f t="shared" si="25"/>
        <v>0</v>
      </c>
      <c r="EG49" s="2" t="s">
        <v>157</v>
      </c>
      <c r="EH49" s="3">
        <f t="shared" si="50"/>
        <v>150</v>
      </c>
      <c r="EI49" s="3">
        <v>6000</v>
      </c>
      <c r="EJ49" s="7">
        <f t="shared" si="124"/>
        <v>900000</v>
      </c>
      <c r="EK49" s="2" t="s">
        <v>157</v>
      </c>
      <c r="EL49" s="13"/>
      <c r="EM49" s="3">
        <v>3000</v>
      </c>
      <c r="EN49" s="3">
        <f t="shared" si="27"/>
        <v>0</v>
      </c>
      <c r="EO49" s="3" t="s">
        <v>126</v>
      </c>
      <c r="EP49" s="3">
        <f t="shared" si="52"/>
        <v>1000</v>
      </c>
      <c r="EQ49" s="3">
        <v>1000</v>
      </c>
      <c r="ER49" s="7">
        <f t="shared" si="53"/>
        <v>1000000</v>
      </c>
      <c r="ES49" s="3" t="s">
        <v>124</v>
      </c>
      <c r="ET49" s="2">
        <v>1</v>
      </c>
      <c r="EU49" s="3">
        <v>60000</v>
      </c>
      <c r="EV49" s="3">
        <f t="shared" si="28"/>
        <v>60000</v>
      </c>
      <c r="EW49" s="3" t="s">
        <v>124</v>
      </c>
      <c r="EX49" s="13"/>
      <c r="EY49" s="3">
        <v>60000</v>
      </c>
      <c r="EZ49" s="3">
        <f t="shared" si="29"/>
        <v>0</v>
      </c>
      <c r="FA49" s="3" t="s">
        <v>170</v>
      </c>
      <c r="FB49" s="13"/>
      <c r="FC49" s="3">
        <v>1000</v>
      </c>
      <c r="FD49" s="3">
        <f t="shared" si="30"/>
        <v>0</v>
      </c>
      <c r="FE49" s="3" t="s">
        <v>126</v>
      </c>
      <c r="FF49" s="3">
        <f t="shared" si="54"/>
        <v>0</v>
      </c>
      <c r="FG49" s="3">
        <v>6000</v>
      </c>
      <c r="FH49" s="3">
        <f t="shared" si="31"/>
        <v>0</v>
      </c>
      <c r="FI49" s="1">
        <f t="shared" si="32"/>
        <v>3420000</v>
      </c>
      <c r="FJ49" s="3" t="s">
        <v>139</v>
      </c>
      <c r="FK49" s="2">
        <v>40</v>
      </c>
      <c r="FL49" s="2">
        <v>6000</v>
      </c>
      <c r="FM49" s="3">
        <f t="shared" si="33"/>
        <v>240000</v>
      </c>
      <c r="FN49" s="3" t="s">
        <v>139</v>
      </c>
      <c r="FO49" s="13"/>
      <c r="FP49" s="3">
        <v>6000</v>
      </c>
      <c r="FQ49" s="3">
        <f t="shared" si="55"/>
        <v>0</v>
      </c>
      <c r="FR49" s="3" t="s">
        <v>139</v>
      </c>
      <c r="FS49" s="13"/>
      <c r="FT49" s="15">
        <v>6000</v>
      </c>
      <c r="FU49" s="3">
        <f t="shared" si="34"/>
        <v>0</v>
      </c>
      <c r="FV49" s="3" t="s">
        <v>139</v>
      </c>
      <c r="FW49" s="13"/>
      <c r="FX49" s="3">
        <v>8000</v>
      </c>
      <c r="FY49" s="3">
        <f t="shared" si="35"/>
        <v>0</v>
      </c>
      <c r="FZ49" s="3" t="s">
        <v>139</v>
      </c>
      <c r="GA49" s="3">
        <v>2</v>
      </c>
      <c r="GB49" s="3">
        <v>8000</v>
      </c>
      <c r="GC49" s="3">
        <f t="shared" si="36"/>
        <v>16000</v>
      </c>
      <c r="GD49" s="3" t="s">
        <v>139</v>
      </c>
      <c r="GE49" s="3">
        <v>10</v>
      </c>
      <c r="GF49" s="3">
        <v>10000</v>
      </c>
      <c r="GG49" s="3">
        <f t="shared" si="37"/>
        <v>100000</v>
      </c>
      <c r="GH49" s="3" t="s">
        <v>139</v>
      </c>
      <c r="GI49" s="13"/>
      <c r="GJ49" s="13"/>
      <c r="GK49" s="3">
        <f t="shared" si="38"/>
        <v>0</v>
      </c>
      <c r="GL49" s="92">
        <f t="shared" si="39"/>
        <v>356000</v>
      </c>
      <c r="GM49" s="8">
        <f t="shared" si="40"/>
        <v>5346000</v>
      </c>
      <c r="GN49" s="8">
        <f t="shared" si="41"/>
        <v>12000</v>
      </c>
      <c r="GO49" s="101">
        <v>1400</v>
      </c>
      <c r="GP49" s="8">
        <f t="shared" si="56"/>
        <v>16800000</v>
      </c>
      <c r="GQ49" s="8">
        <f t="shared" si="42"/>
        <v>35000000</v>
      </c>
      <c r="GR49" s="8">
        <f t="shared" si="43"/>
        <v>11454000</v>
      </c>
      <c r="GS49" s="8">
        <f t="shared" si="44"/>
        <v>29654000</v>
      </c>
      <c r="GT49" s="15" t="s">
        <v>1782</v>
      </c>
      <c r="GU49" s="48" t="s">
        <v>666</v>
      </c>
    </row>
    <row r="50" spans="1:203" s="28" customFormat="1" ht="158.25" customHeight="1">
      <c r="A50" s="44">
        <v>51</v>
      </c>
      <c r="B50" s="22" t="s">
        <v>313</v>
      </c>
      <c r="C50" s="14" t="s">
        <v>614</v>
      </c>
      <c r="D50" s="15" t="s">
        <v>885</v>
      </c>
      <c r="E50" s="14" t="s">
        <v>615</v>
      </c>
      <c r="F50" s="15" t="s">
        <v>1713</v>
      </c>
      <c r="G50" s="14" t="s">
        <v>616</v>
      </c>
      <c r="H50" s="13" t="s">
        <v>88</v>
      </c>
      <c r="I50" s="14" t="s">
        <v>617</v>
      </c>
      <c r="J50" s="14" t="s">
        <v>692</v>
      </c>
      <c r="K50" s="14" t="s">
        <v>618</v>
      </c>
      <c r="L50" s="14" t="s">
        <v>619</v>
      </c>
      <c r="M50" s="14" t="s">
        <v>620</v>
      </c>
      <c r="N50" s="14" t="s">
        <v>621</v>
      </c>
      <c r="O50" s="15" t="s">
        <v>622</v>
      </c>
      <c r="P50" s="15" t="s">
        <v>623</v>
      </c>
      <c r="Q50" s="15" t="s">
        <v>624</v>
      </c>
      <c r="R50" s="15">
        <v>1500</v>
      </c>
      <c r="S50" s="15">
        <v>2500</v>
      </c>
      <c r="T50" s="15">
        <v>800</v>
      </c>
      <c r="U50" s="15">
        <v>90</v>
      </c>
      <c r="V50" s="15">
        <v>180</v>
      </c>
      <c r="W50" s="15" t="s">
        <v>627</v>
      </c>
      <c r="X50" s="29">
        <v>8</v>
      </c>
      <c r="Y50" s="15">
        <v>25</v>
      </c>
      <c r="Z50" s="14" t="s">
        <v>628</v>
      </c>
      <c r="AA50" s="15" t="s">
        <v>629</v>
      </c>
      <c r="AB50" s="15" t="s">
        <v>630</v>
      </c>
      <c r="AC50" s="3">
        <v>50000</v>
      </c>
      <c r="AD50" s="15">
        <v>10</v>
      </c>
      <c r="AE50" s="14"/>
      <c r="AF50" s="3">
        <v>80000</v>
      </c>
      <c r="AG50" s="3">
        <f t="shared" si="45"/>
        <v>500000</v>
      </c>
      <c r="AH50" s="14" t="s">
        <v>631</v>
      </c>
      <c r="AI50" s="14">
        <v>1000</v>
      </c>
      <c r="AJ50" s="15">
        <v>1000</v>
      </c>
      <c r="AK50" s="15">
        <v>150</v>
      </c>
      <c r="AL50" s="15">
        <v>6000</v>
      </c>
      <c r="AM50" s="15">
        <v>70</v>
      </c>
      <c r="AN50" s="15">
        <v>3000</v>
      </c>
      <c r="AO50" s="27"/>
      <c r="AP50" s="15">
        <v>6000</v>
      </c>
      <c r="AQ50" s="2">
        <f t="shared" si="0"/>
        <v>2110000</v>
      </c>
      <c r="AR50" s="14" t="s">
        <v>633</v>
      </c>
      <c r="AS50" s="14" t="s">
        <v>634</v>
      </c>
      <c r="AT50" s="3" t="s">
        <v>139</v>
      </c>
      <c r="AU50" s="14"/>
      <c r="AV50" s="3">
        <v>6000</v>
      </c>
      <c r="AW50" s="2">
        <f t="shared" si="134"/>
        <v>0</v>
      </c>
      <c r="AX50" s="3" t="s">
        <v>139</v>
      </c>
      <c r="AY50" s="13"/>
      <c r="AZ50" s="3">
        <v>6000</v>
      </c>
      <c r="BA50" s="3">
        <f t="shared" si="2"/>
        <v>0</v>
      </c>
      <c r="BB50" s="3" t="s">
        <v>139</v>
      </c>
      <c r="BC50" s="13"/>
      <c r="BD50" s="3">
        <v>6000</v>
      </c>
      <c r="BE50" s="3">
        <f t="shared" si="3"/>
        <v>0</v>
      </c>
      <c r="BF50" s="3" t="s">
        <v>125</v>
      </c>
      <c r="BG50" s="14"/>
      <c r="BH50" s="3">
        <v>6000</v>
      </c>
      <c r="BI50" s="3">
        <f t="shared" si="85"/>
        <v>0</v>
      </c>
      <c r="BJ50" s="2" t="s">
        <v>20</v>
      </c>
      <c r="BK50" s="14"/>
      <c r="BL50" s="3">
        <v>1000</v>
      </c>
      <c r="BM50" s="3">
        <f t="shared" si="62"/>
        <v>0</v>
      </c>
      <c r="BN50" s="13" t="s">
        <v>20</v>
      </c>
      <c r="BO50" s="14"/>
      <c r="BP50" s="2">
        <v>3000</v>
      </c>
      <c r="BQ50" s="14"/>
      <c r="BR50" s="2" t="s">
        <v>126</v>
      </c>
      <c r="BS50" s="14"/>
      <c r="BT50" s="2">
        <f>6000</f>
        <v>6000</v>
      </c>
      <c r="BU50" s="3">
        <f t="shared" si="135"/>
        <v>0</v>
      </c>
      <c r="BV50" s="2" t="s">
        <v>126</v>
      </c>
      <c r="BW50" s="14"/>
      <c r="BX50" s="2">
        <v>6000</v>
      </c>
      <c r="BY50" s="3">
        <f t="shared" si="136"/>
        <v>0</v>
      </c>
      <c r="BZ50" s="92">
        <f>AW50+BE50+BM50+BQ50+BU50+BI50+BY50</f>
        <v>0</v>
      </c>
      <c r="CA50" s="2" t="s">
        <v>139</v>
      </c>
      <c r="CB50" s="3">
        <v>5</v>
      </c>
      <c r="CC50" s="3">
        <v>8000</v>
      </c>
      <c r="CD50" s="3">
        <f t="shared" si="10"/>
        <v>40000</v>
      </c>
      <c r="CE50" s="2" t="s">
        <v>139</v>
      </c>
      <c r="CF50" s="2">
        <v>30</v>
      </c>
      <c r="CG50" s="2">
        <v>6000</v>
      </c>
      <c r="CH50" s="3">
        <f t="shared" si="11"/>
        <v>180000</v>
      </c>
      <c r="CI50" s="3" t="s">
        <v>139</v>
      </c>
      <c r="CJ50" s="3">
        <v>1</v>
      </c>
      <c r="CK50" s="14"/>
      <c r="CL50" s="3">
        <f t="shared" si="12"/>
        <v>0</v>
      </c>
      <c r="CM50" s="5">
        <f t="shared" si="13"/>
        <v>220000</v>
      </c>
      <c r="CN50" s="3" t="s">
        <v>125</v>
      </c>
      <c r="CO50" s="3">
        <v>0</v>
      </c>
      <c r="CP50" s="3">
        <v>6000</v>
      </c>
      <c r="CQ50" s="3">
        <f t="shared" si="137"/>
        <v>0</v>
      </c>
      <c r="CR50" s="3" t="s">
        <v>125</v>
      </c>
      <c r="CS50" s="3">
        <v>75</v>
      </c>
      <c r="CT50" s="3">
        <v>6000</v>
      </c>
      <c r="CU50" s="3">
        <f t="shared" si="138"/>
        <v>450000</v>
      </c>
      <c r="CV50" s="3" t="s">
        <v>125</v>
      </c>
      <c r="CW50" s="3">
        <v>30</v>
      </c>
      <c r="CX50" s="3">
        <v>6000</v>
      </c>
      <c r="CY50" s="3">
        <f t="shared" si="139"/>
        <v>180000</v>
      </c>
      <c r="CZ50" s="3" t="s">
        <v>125</v>
      </c>
      <c r="DA50" s="3">
        <v>15</v>
      </c>
      <c r="DB50" s="3">
        <v>6000</v>
      </c>
      <c r="DC50" s="3">
        <f t="shared" si="140"/>
        <v>90000</v>
      </c>
      <c r="DD50" s="3" t="s">
        <v>125</v>
      </c>
      <c r="DE50" s="3">
        <v>5</v>
      </c>
      <c r="DF50" s="3">
        <v>6000</v>
      </c>
      <c r="DG50" s="3">
        <f t="shared" si="141"/>
        <v>30000</v>
      </c>
      <c r="DH50" s="3" t="s">
        <v>125</v>
      </c>
      <c r="DI50" s="3">
        <v>100</v>
      </c>
      <c r="DJ50" s="3">
        <v>6000</v>
      </c>
      <c r="DK50" s="3">
        <f t="shared" si="142"/>
        <v>600000</v>
      </c>
      <c r="DL50" s="3" t="s">
        <v>125</v>
      </c>
      <c r="DM50" s="3"/>
      <c r="DN50" s="3">
        <v>6000</v>
      </c>
      <c r="DO50" s="3">
        <f t="shared" si="143"/>
        <v>0</v>
      </c>
      <c r="DP50" s="3" t="s">
        <v>125</v>
      </c>
      <c r="DQ50" s="3"/>
      <c r="DR50" s="3">
        <v>6000</v>
      </c>
      <c r="DS50" s="3">
        <f t="shared" si="144"/>
        <v>0</v>
      </c>
      <c r="DT50" s="6">
        <f t="shared" si="145"/>
        <v>1350000</v>
      </c>
      <c r="DU50" s="2" t="s">
        <v>157</v>
      </c>
      <c r="DV50" s="3">
        <f t="shared" si="46"/>
        <v>1500</v>
      </c>
      <c r="DW50" s="3">
        <f t="shared" si="47"/>
        <v>800</v>
      </c>
      <c r="DX50" s="3">
        <f t="shared" si="23"/>
        <v>1200000</v>
      </c>
      <c r="DY50" s="3" t="s">
        <v>127</v>
      </c>
      <c r="DZ50" s="3">
        <f t="shared" si="48"/>
        <v>10</v>
      </c>
      <c r="EA50" s="2">
        <v>50000</v>
      </c>
      <c r="EB50" s="3">
        <f t="shared" si="24"/>
        <v>500000</v>
      </c>
      <c r="EC50" s="2" t="s">
        <v>127</v>
      </c>
      <c r="ED50" s="3">
        <f t="shared" si="49"/>
        <v>0</v>
      </c>
      <c r="EE50" s="3">
        <v>80000</v>
      </c>
      <c r="EF50" s="3">
        <f t="shared" si="25"/>
        <v>0</v>
      </c>
      <c r="EG50" s="2" t="s">
        <v>157</v>
      </c>
      <c r="EH50" s="3">
        <f t="shared" si="50"/>
        <v>150</v>
      </c>
      <c r="EI50" s="3">
        <v>6000</v>
      </c>
      <c r="EJ50" s="7">
        <f t="shared" si="124"/>
        <v>900000</v>
      </c>
      <c r="EK50" s="2" t="s">
        <v>157</v>
      </c>
      <c r="EL50" s="13">
        <f>AM50</f>
        <v>70</v>
      </c>
      <c r="EM50" s="3">
        <v>3000</v>
      </c>
      <c r="EN50" s="3">
        <f t="shared" si="27"/>
        <v>210000</v>
      </c>
      <c r="EO50" s="3" t="s">
        <v>126</v>
      </c>
      <c r="EP50" s="3">
        <f t="shared" si="52"/>
        <v>1000</v>
      </c>
      <c r="EQ50" s="3">
        <v>1000</v>
      </c>
      <c r="ER50" s="7">
        <f t="shared" si="53"/>
        <v>1000000</v>
      </c>
      <c r="ES50" s="3" t="s">
        <v>124</v>
      </c>
      <c r="ET50" s="2">
        <v>1</v>
      </c>
      <c r="EU50" s="3">
        <v>60000</v>
      </c>
      <c r="EV50" s="3">
        <f t="shared" si="28"/>
        <v>60000</v>
      </c>
      <c r="EW50" s="3" t="s">
        <v>124</v>
      </c>
      <c r="EX50" s="14"/>
      <c r="EY50" s="3">
        <v>60000</v>
      </c>
      <c r="EZ50" s="3">
        <f t="shared" si="29"/>
        <v>0</v>
      </c>
      <c r="FA50" s="3" t="s">
        <v>170</v>
      </c>
      <c r="FB50" s="14"/>
      <c r="FC50" s="3">
        <v>1000</v>
      </c>
      <c r="FD50" s="3">
        <f t="shared" si="30"/>
        <v>0</v>
      </c>
      <c r="FE50" s="3" t="s">
        <v>126</v>
      </c>
      <c r="FF50" s="3">
        <f t="shared" si="54"/>
        <v>0</v>
      </c>
      <c r="FG50" s="3">
        <v>6000</v>
      </c>
      <c r="FH50" s="3">
        <f t="shared" si="31"/>
        <v>0</v>
      </c>
      <c r="FI50" s="1">
        <f t="shared" si="32"/>
        <v>3870000</v>
      </c>
      <c r="FJ50" s="3" t="s">
        <v>139</v>
      </c>
      <c r="FK50" s="2">
        <v>40</v>
      </c>
      <c r="FL50" s="2">
        <v>6000</v>
      </c>
      <c r="FM50" s="3">
        <f t="shared" si="33"/>
        <v>240000</v>
      </c>
      <c r="FN50" s="3" t="s">
        <v>139</v>
      </c>
      <c r="FO50" s="14"/>
      <c r="FP50" s="3">
        <v>6000</v>
      </c>
      <c r="FQ50" s="3">
        <f t="shared" si="55"/>
        <v>0</v>
      </c>
      <c r="FR50" s="3" t="s">
        <v>139</v>
      </c>
      <c r="FS50" s="13"/>
      <c r="FT50" s="15">
        <v>6000</v>
      </c>
      <c r="FU50" s="3">
        <f t="shared" si="34"/>
        <v>0</v>
      </c>
      <c r="FV50" s="3" t="s">
        <v>139</v>
      </c>
      <c r="FW50" s="14"/>
      <c r="FX50" s="3">
        <v>8000</v>
      </c>
      <c r="FY50" s="3">
        <f t="shared" si="35"/>
        <v>0</v>
      </c>
      <c r="FZ50" s="3" t="s">
        <v>139</v>
      </c>
      <c r="GA50" s="3">
        <v>2</v>
      </c>
      <c r="GB50" s="3">
        <v>8000</v>
      </c>
      <c r="GC50" s="3">
        <f t="shared" si="36"/>
        <v>16000</v>
      </c>
      <c r="GD50" s="3" t="s">
        <v>139</v>
      </c>
      <c r="GE50" s="3">
        <v>10</v>
      </c>
      <c r="GF50" s="3">
        <v>10000</v>
      </c>
      <c r="GG50" s="3">
        <f t="shared" si="37"/>
        <v>100000</v>
      </c>
      <c r="GH50" s="3" t="s">
        <v>139</v>
      </c>
      <c r="GI50" s="14"/>
      <c r="GJ50" s="14"/>
      <c r="GK50" s="3">
        <f t="shared" si="38"/>
        <v>0</v>
      </c>
      <c r="GL50" s="92">
        <f t="shared" si="39"/>
        <v>356000</v>
      </c>
      <c r="GM50" s="8">
        <f t="shared" si="40"/>
        <v>5796000</v>
      </c>
      <c r="GN50" s="8">
        <f t="shared" si="41"/>
        <v>8000</v>
      </c>
      <c r="GO50" s="102">
        <v>1200</v>
      </c>
      <c r="GP50" s="8">
        <f t="shared" si="56"/>
        <v>9600000</v>
      </c>
      <c r="GQ50" s="8">
        <f t="shared" si="42"/>
        <v>30000000</v>
      </c>
      <c r="GR50" s="8">
        <f t="shared" si="43"/>
        <v>3804000</v>
      </c>
      <c r="GS50" s="8">
        <f t="shared" si="44"/>
        <v>24204000</v>
      </c>
      <c r="GT50" s="15" t="s">
        <v>1783</v>
      </c>
      <c r="GU50" s="47" t="s">
        <v>635</v>
      </c>
    </row>
    <row r="51" spans="1:203" ht="158.25" customHeight="1">
      <c r="A51" s="44">
        <v>52</v>
      </c>
      <c r="B51" s="22" t="s">
        <v>90</v>
      </c>
      <c r="C51" s="14" t="s">
        <v>454</v>
      </c>
      <c r="D51" s="14" t="s">
        <v>79</v>
      </c>
      <c r="E51" s="15" t="s">
        <v>886</v>
      </c>
      <c r="F51" s="15" t="s">
        <v>667</v>
      </c>
      <c r="G51" s="15" t="s">
        <v>668</v>
      </c>
      <c r="H51" s="13" t="s">
        <v>88</v>
      </c>
      <c r="I51" s="15" t="s">
        <v>669</v>
      </c>
      <c r="J51" s="14" t="s">
        <v>670</v>
      </c>
      <c r="K51" s="15" t="s">
        <v>671</v>
      </c>
      <c r="L51" s="15" t="s">
        <v>672</v>
      </c>
      <c r="M51" s="15" t="s">
        <v>673</v>
      </c>
      <c r="N51" s="14" t="s">
        <v>621</v>
      </c>
      <c r="O51" s="15" t="s">
        <v>674</v>
      </c>
      <c r="P51" s="15" t="s">
        <v>623</v>
      </c>
      <c r="Q51" s="15" t="s">
        <v>624</v>
      </c>
      <c r="R51" s="15">
        <v>1000</v>
      </c>
      <c r="S51" s="15">
        <v>1500</v>
      </c>
      <c r="T51" s="15">
        <v>1000</v>
      </c>
      <c r="U51" s="15">
        <v>90</v>
      </c>
      <c r="V51" s="15">
        <v>180</v>
      </c>
      <c r="W51" s="15" t="s">
        <v>627</v>
      </c>
      <c r="X51" s="29">
        <v>10</v>
      </c>
      <c r="Y51" s="15">
        <v>20</v>
      </c>
      <c r="Z51" s="14" t="s">
        <v>628</v>
      </c>
      <c r="AA51" s="15" t="s">
        <v>629</v>
      </c>
      <c r="AB51" s="15" t="s">
        <v>630</v>
      </c>
      <c r="AC51" s="3">
        <v>50000</v>
      </c>
      <c r="AD51" s="15">
        <v>10</v>
      </c>
      <c r="AE51" s="14"/>
      <c r="AF51" s="3">
        <v>80000</v>
      </c>
      <c r="AG51" s="3">
        <f t="shared" si="45"/>
        <v>500000</v>
      </c>
      <c r="AH51" s="14" t="s">
        <v>900</v>
      </c>
      <c r="AI51" s="14">
        <v>1000</v>
      </c>
      <c r="AJ51" s="15">
        <v>1000</v>
      </c>
      <c r="AK51" s="15">
        <v>150</v>
      </c>
      <c r="AL51" s="15">
        <v>6000</v>
      </c>
      <c r="AM51" s="15">
        <v>70</v>
      </c>
      <c r="AN51" s="15">
        <v>3000</v>
      </c>
      <c r="AO51" s="13"/>
      <c r="AP51" s="15">
        <v>6000</v>
      </c>
      <c r="AQ51" s="2">
        <f t="shared" si="0"/>
        <v>2110000</v>
      </c>
      <c r="AR51" s="14" t="s">
        <v>633</v>
      </c>
      <c r="AS51" s="14" t="s">
        <v>634</v>
      </c>
      <c r="AT51" s="2" t="s">
        <v>139</v>
      </c>
      <c r="AU51" s="13"/>
      <c r="AV51" s="3">
        <v>6000</v>
      </c>
      <c r="AW51" s="2">
        <f t="shared" si="134"/>
        <v>0</v>
      </c>
      <c r="AX51" s="3" t="s">
        <v>139</v>
      </c>
      <c r="AY51" s="13"/>
      <c r="AZ51" s="3">
        <v>6000</v>
      </c>
      <c r="BA51" s="3">
        <f t="shared" si="2"/>
        <v>0</v>
      </c>
      <c r="BB51" s="3" t="s">
        <v>139</v>
      </c>
      <c r="BC51" s="13"/>
      <c r="BD51" s="3">
        <v>6000</v>
      </c>
      <c r="BE51" s="3">
        <f t="shared" si="3"/>
        <v>0</v>
      </c>
      <c r="BF51" s="3" t="s">
        <v>125</v>
      </c>
      <c r="BG51" s="13"/>
      <c r="BH51" s="3">
        <v>6000</v>
      </c>
      <c r="BI51" s="3">
        <f t="shared" si="85"/>
        <v>0</v>
      </c>
      <c r="BJ51" s="2" t="s">
        <v>20</v>
      </c>
      <c r="BK51" s="13"/>
      <c r="BL51" s="3">
        <v>1000</v>
      </c>
      <c r="BM51" s="3">
        <f t="shared" si="62"/>
        <v>0</v>
      </c>
      <c r="BN51" s="13" t="s">
        <v>20</v>
      </c>
      <c r="BO51" s="13"/>
      <c r="BP51" s="2">
        <v>3000</v>
      </c>
      <c r="BQ51" s="13"/>
      <c r="BR51" s="2" t="s">
        <v>126</v>
      </c>
      <c r="BS51" s="13"/>
      <c r="BT51" s="2">
        <f>6000</f>
        <v>6000</v>
      </c>
      <c r="BU51" s="3">
        <f t="shared" si="135"/>
        <v>0</v>
      </c>
      <c r="BV51" s="2" t="s">
        <v>126</v>
      </c>
      <c r="BW51" s="13"/>
      <c r="BX51" s="2">
        <v>6000</v>
      </c>
      <c r="BY51" s="3">
        <f t="shared" si="136"/>
        <v>0</v>
      </c>
      <c r="BZ51" s="92">
        <f>AW51+BE51+BM51+BQ51+BU51+BI51+BY51</f>
        <v>0</v>
      </c>
      <c r="CA51" s="2" t="s">
        <v>139</v>
      </c>
      <c r="CB51" s="3">
        <v>5</v>
      </c>
      <c r="CC51" s="3">
        <v>8000</v>
      </c>
      <c r="CD51" s="3">
        <f t="shared" si="10"/>
        <v>40000</v>
      </c>
      <c r="CE51" s="2" t="s">
        <v>139</v>
      </c>
      <c r="CF51" s="2">
        <v>30</v>
      </c>
      <c r="CG51" s="2">
        <v>6000</v>
      </c>
      <c r="CH51" s="3">
        <f t="shared" si="11"/>
        <v>180000</v>
      </c>
      <c r="CI51" s="3" t="s">
        <v>139</v>
      </c>
      <c r="CJ51" s="3">
        <v>1</v>
      </c>
      <c r="CK51" s="13"/>
      <c r="CL51" s="3">
        <f t="shared" si="12"/>
        <v>0</v>
      </c>
      <c r="CM51" s="5">
        <f t="shared" si="13"/>
        <v>220000</v>
      </c>
      <c r="CN51" s="3" t="s">
        <v>125</v>
      </c>
      <c r="CO51" s="3">
        <v>0</v>
      </c>
      <c r="CP51" s="3">
        <v>6000</v>
      </c>
      <c r="CQ51" s="3">
        <f t="shared" si="137"/>
        <v>0</v>
      </c>
      <c r="CR51" s="3" t="s">
        <v>125</v>
      </c>
      <c r="CS51" s="3">
        <v>75</v>
      </c>
      <c r="CT51" s="3">
        <v>6000</v>
      </c>
      <c r="CU51" s="3">
        <f t="shared" si="138"/>
        <v>450000</v>
      </c>
      <c r="CV51" s="3" t="s">
        <v>125</v>
      </c>
      <c r="CW51" s="3">
        <v>30</v>
      </c>
      <c r="CX51" s="3">
        <v>6000</v>
      </c>
      <c r="CY51" s="3">
        <f t="shared" si="139"/>
        <v>180000</v>
      </c>
      <c r="CZ51" s="3" t="s">
        <v>125</v>
      </c>
      <c r="DA51" s="3">
        <v>15</v>
      </c>
      <c r="DB51" s="3">
        <v>6000</v>
      </c>
      <c r="DC51" s="3">
        <f t="shared" si="140"/>
        <v>90000</v>
      </c>
      <c r="DD51" s="3" t="s">
        <v>125</v>
      </c>
      <c r="DE51" s="3">
        <v>5</v>
      </c>
      <c r="DF51" s="3">
        <v>6000</v>
      </c>
      <c r="DG51" s="3">
        <f t="shared" si="141"/>
        <v>30000</v>
      </c>
      <c r="DH51" s="3" t="s">
        <v>125</v>
      </c>
      <c r="DI51" s="3">
        <v>100</v>
      </c>
      <c r="DJ51" s="3">
        <v>6000</v>
      </c>
      <c r="DK51" s="3">
        <f t="shared" si="142"/>
        <v>600000</v>
      </c>
      <c r="DL51" s="3" t="s">
        <v>125</v>
      </c>
      <c r="DM51" s="3"/>
      <c r="DN51" s="3">
        <v>6000</v>
      </c>
      <c r="DO51" s="3">
        <f t="shared" si="143"/>
        <v>0</v>
      </c>
      <c r="DP51" s="3" t="s">
        <v>125</v>
      </c>
      <c r="DQ51" s="3"/>
      <c r="DR51" s="3">
        <v>6000</v>
      </c>
      <c r="DS51" s="3">
        <f t="shared" si="144"/>
        <v>0</v>
      </c>
      <c r="DT51" s="6">
        <f t="shared" si="145"/>
        <v>1350000</v>
      </c>
      <c r="DU51" s="2" t="s">
        <v>157</v>
      </c>
      <c r="DV51" s="3">
        <f t="shared" si="46"/>
        <v>1000</v>
      </c>
      <c r="DW51" s="3">
        <f t="shared" si="47"/>
        <v>1000</v>
      </c>
      <c r="DX51" s="3">
        <f t="shared" si="23"/>
        <v>1000000</v>
      </c>
      <c r="DY51" s="3" t="s">
        <v>127</v>
      </c>
      <c r="DZ51" s="3">
        <f t="shared" si="48"/>
        <v>10</v>
      </c>
      <c r="EA51" s="2">
        <v>50000</v>
      </c>
      <c r="EB51" s="3">
        <f t="shared" si="24"/>
        <v>500000</v>
      </c>
      <c r="EC51" s="2" t="s">
        <v>127</v>
      </c>
      <c r="ED51" s="3">
        <f t="shared" si="49"/>
        <v>0</v>
      </c>
      <c r="EE51" s="3">
        <v>80000</v>
      </c>
      <c r="EF51" s="3">
        <f t="shared" si="25"/>
        <v>0</v>
      </c>
      <c r="EG51" s="2" t="s">
        <v>157</v>
      </c>
      <c r="EH51" s="3">
        <f t="shared" si="50"/>
        <v>150</v>
      </c>
      <c r="EI51" s="3">
        <v>6000</v>
      </c>
      <c r="EJ51" s="7">
        <f t="shared" si="124"/>
        <v>900000</v>
      </c>
      <c r="EK51" s="2" t="s">
        <v>157</v>
      </c>
      <c r="EL51" s="13">
        <f>AM51</f>
        <v>70</v>
      </c>
      <c r="EM51" s="3">
        <v>3000</v>
      </c>
      <c r="EN51" s="3">
        <f t="shared" si="27"/>
        <v>210000</v>
      </c>
      <c r="EO51" s="3" t="s">
        <v>126</v>
      </c>
      <c r="EP51" s="3">
        <f t="shared" si="52"/>
        <v>1000</v>
      </c>
      <c r="EQ51" s="3">
        <v>1000</v>
      </c>
      <c r="ER51" s="7">
        <f t="shared" si="53"/>
        <v>1000000</v>
      </c>
      <c r="ES51" s="3" t="s">
        <v>124</v>
      </c>
      <c r="ET51" s="2">
        <v>1</v>
      </c>
      <c r="EU51" s="3">
        <v>60000</v>
      </c>
      <c r="EV51" s="3">
        <f t="shared" si="28"/>
        <v>60000</v>
      </c>
      <c r="EW51" s="3" t="s">
        <v>124</v>
      </c>
      <c r="EX51" s="13"/>
      <c r="EY51" s="3">
        <v>60000</v>
      </c>
      <c r="EZ51" s="3">
        <f t="shared" si="29"/>
        <v>0</v>
      </c>
      <c r="FA51" s="3" t="s">
        <v>170</v>
      </c>
      <c r="FB51" s="13"/>
      <c r="FC51" s="3">
        <v>1000</v>
      </c>
      <c r="FD51" s="3">
        <f t="shared" si="30"/>
        <v>0</v>
      </c>
      <c r="FE51" s="3" t="s">
        <v>126</v>
      </c>
      <c r="FF51" s="3">
        <f t="shared" si="54"/>
        <v>0</v>
      </c>
      <c r="FG51" s="3">
        <v>6000</v>
      </c>
      <c r="FH51" s="3">
        <f t="shared" si="31"/>
        <v>0</v>
      </c>
      <c r="FI51" s="1">
        <f t="shared" si="32"/>
        <v>3670000</v>
      </c>
      <c r="FJ51" s="3" t="s">
        <v>139</v>
      </c>
      <c r="FK51" s="2">
        <v>40</v>
      </c>
      <c r="FL51" s="2">
        <v>6000</v>
      </c>
      <c r="FM51" s="3">
        <f t="shared" si="33"/>
        <v>240000</v>
      </c>
      <c r="FN51" s="3" t="s">
        <v>139</v>
      </c>
      <c r="FO51" s="13"/>
      <c r="FP51" s="3">
        <v>6000</v>
      </c>
      <c r="FQ51" s="3">
        <f t="shared" si="55"/>
        <v>0</v>
      </c>
      <c r="FR51" s="3" t="s">
        <v>139</v>
      </c>
      <c r="FS51" s="13"/>
      <c r="FT51" s="15">
        <v>6000</v>
      </c>
      <c r="FU51" s="3">
        <f t="shared" si="34"/>
        <v>0</v>
      </c>
      <c r="FV51" s="3" t="s">
        <v>139</v>
      </c>
      <c r="FW51" s="13"/>
      <c r="FX51" s="3">
        <v>8000</v>
      </c>
      <c r="FY51" s="3">
        <f t="shared" si="35"/>
        <v>0</v>
      </c>
      <c r="FZ51" s="3" t="s">
        <v>139</v>
      </c>
      <c r="GA51" s="3">
        <v>2</v>
      </c>
      <c r="GB51" s="3">
        <v>8000</v>
      </c>
      <c r="GC51" s="3">
        <f t="shared" si="36"/>
        <v>16000</v>
      </c>
      <c r="GD51" s="3" t="s">
        <v>139</v>
      </c>
      <c r="GE51" s="3">
        <v>10</v>
      </c>
      <c r="GF51" s="3">
        <v>10000</v>
      </c>
      <c r="GG51" s="3">
        <f t="shared" si="37"/>
        <v>100000</v>
      </c>
      <c r="GH51" s="3" t="s">
        <v>139</v>
      </c>
      <c r="GI51" s="13"/>
      <c r="GJ51" s="13"/>
      <c r="GK51" s="3">
        <f t="shared" si="38"/>
        <v>0</v>
      </c>
      <c r="GL51" s="92">
        <f t="shared" si="39"/>
        <v>356000</v>
      </c>
      <c r="GM51" s="8">
        <f t="shared" si="40"/>
        <v>5596000</v>
      </c>
      <c r="GN51" s="8">
        <f t="shared" si="41"/>
        <v>10000</v>
      </c>
      <c r="GO51" s="100">
        <v>1500</v>
      </c>
      <c r="GP51" s="8">
        <f t="shared" si="56"/>
        <v>15000000</v>
      </c>
      <c r="GQ51" s="8">
        <f t="shared" si="42"/>
        <v>30000000</v>
      </c>
      <c r="GR51" s="8">
        <f t="shared" si="43"/>
        <v>9404000</v>
      </c>
      <c r="GS51" s="8">
        <f t="shared" si="44"/>
        <v>24404000</v>
      </c>
      <c r="GT51" s="15" t="s">
        <v>1784</v>
      </c>
      <c r="GU51" s="47" t="s">
        <v>675</v>
      </c>
    </row>
    <row r="52" spans="1:203" s="38" customFormat="1" ht="158.25" customHeight="1">
      <c r="A52" s="44">
        <v>53</v>
      </c>
      <c r="B52" s="33" t="s">
        <v>786</v>
      </c>
      <c r="C52" s="34" t="s">
        <v>853</v>
      </c>
      <c r="D52" s="34" t="s">
        <v>787</v>
      </c>
      <c r="E52" s="34" t="s">
        <v>855</v>
      </c>
      <c r="F52" s="35" t="s">
        <v>856</v>
      </c>
      <c r="G52" s="34" t="s">
        <v>887</v>
      </c>
      <c r="H52" s="34" t="s">
        <v>84</v>
      </c>
      <c r="I52" s="35" t="s">
        <v>912</v>
      </c>
      <c r="J52" s="34" t="s">
        <v>889</v>
      </c>
      <c r="K52" s="35" t="s">
        <v>890</v>
      </c>
      <c r="L52" s="35" t="s">
        <v>891</v>
      </c>
      <c r="M52" s="35" t="s">
        <v>892</v>
      </c>
      <c r="N52" s="34" t="s">
        <v>917</v>
      </c>
      <c r="O52" s="34" t="s">
        <v>893</v>
      </c>
      <c r="P52" s="34" t="s">
        <v>894</v>
      </c>
      <c r="Q52" s="39" t="s">
        <v>895</v>
      </c>
      <c r="R52" s="35">
        <v>1500</v>
      </c>
      <c r="S52" s="35">
        <v>2500</v>
      </c>
      <c r="T52" s="35">
        <v>1500</v>
      </c>
      <c r="U52" s="35">
        <v>90</v>
      </c>
      <c r="V52" s="35">
        <v>120</v>
      </c>
      <c r="W52" s="35" t="s">
        <v>896</v>
      </c>
      <c r="X52" s="40">
        <v>8</v>
      </c>
      <c r="Y52" s="35">
        <v>20</v>
      </c>
      <c r="Z52" s="34" t="s">
        <v>897</v>
      </c>
      <c r="AA52" s="34" t="s">
        <v>898</v>
      </c>
      <c r="AB52" s="35" t="s">
        <v>899</v>
      </c>
      <c r="AC52" s="3">
        <v>50000</v>
      </c>
      <c r="AD52" s="15">
        <v>10</v>
      </c>
      <c r="AE52" s="34"/>
      <c r="AF52" s="3">
        <v>80000</v>
      </c>
      <c r="AG52" s="3">
        <f t="shared" si="45"/>
        <v>500000</v>
      </c>
      <c r="AH52" s="34" t="s">
        <v>901</v>
      </c>
      <c r="AI52" s="34">
        <v>300</v>
      </c>
      <c r="AJ52" s="15">
        <v>1000</v>
      </c>
      <c r="AK52" s="40">
        <v>300</v>
      </c>
      <c r="AL52" s="15">
        <v>6000</v>
      </c>
      <c r="AM52" s="35">
        <v>50</v>
      </c>
      <c r="AN52" s="15">
        <v>3000</v>
      </c>
      <c r="AO52" s="36"/>
      <c r="AP52" s="15">
        <v>6000</v>
      </c>
      <c r="AQ52" s="2">
        <f t="shared" si="0"/>
        <v>2250000</v>
      </c>
      <c r="AR52" s="34" t="s">
        <v>946</v>
      </c>
      <c r="AS52" s="34" t="s">
        <v>945</v>
      </c>
      <c r="AT52" s="2" t="s">
        <v>139</v>
      </c>
      <c r="AU52" s="34"/>
      <c r="AV52" s="3">
        <v>6000</v>
      </c>
      <c r="AW52" s="2">
        <f t="shared" si="134"/>
        <v>0</v>
      </c>
      <c r="AX52" s="3" t="s">
        <v>139</v>
      </c>
      <c r="AY52" s="36"/>
      <c r="AZ52" s="3">
        <v>6000</v>
      </c>
      <c r="BA52" s="3">
        <f t="shared" si="2"/>
        <v>0</v>
      </c>
      <c r="BB52" s="3" t="s">
        <v>139</v>
      </c>
      <c r="BC52" s="34"/>
      <c r="BD52" s="3">
        <v>6000</v>
      </c>
      <c r="BE52" s="3">
        <f t="shared" si="3"/>
        <v>0</v>
      </c>
      <c r="BF52" s="3" t="s">
        <v>125</v>
      </c>
      <c r="BG52" s="34"/>
      <c r="BH52" s="3">
        <v>6000</v>
      </c>
      <c r="BI52" s="34"/>
      <c r="BJ52" s="2" t="s">
        <v>20</v>
      </c>
      <c r="BK52" s="14"/>
      <c r="BL52" s="3">
        <v>1000</v>
      </c>
      <c r="BM52" s="3">
        <f t="shared" si="62"/>
        <v>0</v>
      </c>
      <c r="BN52" s="13" t="s">
        <v>20</v>
      </c>
      <c r="BO52" s="14"/>
      <c r="BP52" s="2">
        <v>3000</v>
      </c>
      <c r="BQ52" s="14">
        <f>BO52*BP52</f>
        <v>0</v>
      </c>
      <c r="BR52" s="2" t="s">
        <v>126</v>
      </c>
      <c r="BS52" s="14"/>
      <c r="BT52" s="2">
        <f>6000</f>
        <v>6000</v>
      </c>
      <c r="BU52" s="3">
        <f t="shared" si="135"/>
        <v>0</v>
      </c>
      <c r="BV52" s="2" t="s">
        <v>126</v>
      </c>
      <c r="BW52" s="14"/>
      <c r="BX52" s="2">
        <v>6000</v>
      </c>
      <c r="BY52" s="3">
        <f t="shared" si="136"/>
        <v>0</v>
      </c>
      <c r="BZ52" s="92">
        <f t="shared" ref="BZ52:BZ65" si="146">AW52+BE52+BM52+BQ52+BU52+BI52+BY52</f>
        <v>0</v>
      </c>
      <c r="CA52" s="2" t="s">
        <v>139</v>
      </c>
      <c r="CB52" s="3">
        <v>5</v>
      </c>
      <c r="CC52" s="3">
        <v>8000</v>
      </c>
      <c r="CD52" s="3">
        <f t="shared" si="10"/>
        <v>40000</v>
      </c>
      <c r="CE52" s="2" t="s">
        <v>139</v>
      </c>
      <c r="CF52" s="2">
        <v>30</v>
      </c>
      <c r="CG52" s="2">
        <v>6000</v>
      </c>
      <c r="CH52" s="3">
        <f t="shared" si="11"/>
        <v>180000</v>
      </c>
      <c r="CI52" s="3" t="s">
        <v>139</v>
      </c>
      <c r="CJ52" s="3">
        <v>1</v>
      </c>
      <c r="CK52" s="14"/>
      <c r="CL52" s="3">
        <f t="shared" si="12"/>
        <v>0</v>
      </c>
      <c r="CM52" s="5">
        <f t="shared" si="13"/>
        <v>220000</v>
      </c>
      <c r="CN52" s="3" t="s">
        <v>125</v>
      </c>
      <c r="CO52" s="3">
        <v>0</v>
      </c>
      <c r="CP52" s="3">
        <v>6000</v>
      </c>
      <c r="CQ52" s="3">
        <f t="shared" si="137"/>
        <v>0</v>
      </c>
      <c r="CR52" s="3" t="s">
        <v>125</v>
      </c>
      <c r="CS52" s="3">
        <v>75</v>
      </c>
      <c r="CT52" s="3">
        <v>6000</v>
      </c>
      <c r="CU52" s="3">
        <f t="shared" si="138"/>
        <v>450000</v>
      </c>
      <c r="CV52" s="3" t="s">
        <v>125</v>
      </c>
      <c r="CW52" s="3">
        <v>30</v>
      </c>
      <c r="CX52" s="3">
        <v>6000</v>
      </c>
      <c r="CY52" s="3">
        <f t="shared" si="139"/>
        <v>180000</v>
      </c>
      <c r="CZ52" s="3" t="s">
        <v>125</v>
      </c>
      <c r="DA52" s="3">
        <v>15</v>
      </c>
      <c r="DB52" s="3">
        <v>6000</v>
      </c>
      <c r="DC52" s="3">
        <f t="shared" si="140"/>
        <v>90000</v>
      </c>
      <c r="DD52" s="3" t="s">
        <v>125</v>
      </c>
      <c r="DE52" s="3">
        <v>5</v>
      </c>
      <c r="DF52" s="3">
        <v>6000</v>
      </c>
      <c r="DG52" s="3">
        <f t="shared" si="141"/>
        <v>30000</v>
      </c>
      <c r="DH52" s="3" t="s">
        <v>125</v>
      </c>
      <c r="DI52" s="3">
        <v>100</v>
      </c>
      <c r="DJ52" s="3">
        <v>6000</v>
      </c>
      <c r="DK52" s="3">
        <f t="shared" si="142"/>
        <v>600000</v>
      </c>
      <c r="DL52" s="3" t="s">
        <v>125</v>
      </c>
      <c r="DM52" s="3"/>
      <c r="DN52" s="3">
        <v>6000</v>
      </c>
      <c r="DO52" s="3">
        <f t="shared" si="143"/>
        <v>0</v>
      </c>
      <c r="DP52" s="3" t="s">
        <v>125</v>
      </c>
      <c r="DQ52" s="3"/>
      <c r="DR52" s="3">
        <v>6000</v>
      </c>
      <c r="DS52" s="3">
        <f t="shared" si="144"/>
        <v>0</v>
      </c>
      <c r="DT52" s="6">
        <f t="shared" si="145"/>
        <v>1350000</v>
      </c>
      <c r="DU52" s="2" t="s">
        <v>157</v>
      </c>
      <c r="DV52" s="3">
        <f t="shared" si="46"/>
        <v>1500</v>
      </c>
      <c r="DW52" s="3">
        <f t="shared" si="47"/>
        <v>1500</v>
      </c>
      <c r="DX52" s="3">
        <f t="shared" si="23"/>
        <v>2250000</v>
      </c>
      <c r="DY52" s="3" t="s">
        <v>127</v>
      </c>
      <c r="DZ52" s="3">
        <f t="shared" si="48"/>
        <v>10</v>
      </c>
      <c r="EA52" s="2">
        <v>50000</v>
      </c>
      <c r="EB52" s="3">
        <f t="shared" si="24"/>
        <v>500000</v>
      </c>
      <c r="EC52" s="2" t="s">
        <v>127</v>
      </c>
      <c r="ED52" s="3">
        <f t="shared" si="49"/>
        <v>0</v>
      </c>
      <c r="EE52" s="3">
        <v>80000</v>
      </c>
      <c r="EF52" s="3">
        <f t="shared" si="25"/>
        <v>0</v>
      </c>
      <c r="EG52" s="2" t="s">
        <v>157</v>
      </c>
      <c r="EH52" s="3">
        <f t="shared" si="50"/>
        <v>300</v>
      </c>
      <c r="EI52" s="3">
        <v>6000</v>
      </c>
      <c r="EJ52" s="7">
        <f t="shared" si="124"/>
        <v>1800000</v>
      </c>
      <c r="EK52" s="2" t="s">
        <v>157</v>
      </c>
      <c r="EL52" s="13">
        <f>AM52</f>
        <v>50</v>
      </c>
      <c r="EM52" s="3">
        <v>3000</v>
      </c>
      <c r="EN52" s="3">
        <f t="shared" si="27"/>
        <v>150000</v>
      </c>
      <c r="EO52" s="3" t="s">
        <v>126</v>
      </c>
      <c r="EP52" s="3">
        <f t="shared" si="52"/>
        <v>300</v>
      </c>
      <c r="EQ52" s="3">
        <v>1000</v>
      </c>
      <c r="ER52" s="7">
        <f t="shared" si="53"/>
        <v>300000</v>
      </c>
      <c r="ES52" s="3" t="s">
        <v>124</v>
      </c>
      <c r="ET52" s="2">
        <v>1</v>
      </c>
      <c r="EU52" s="3">
        <v>60000</v>
      </c>
      <c r="EV52" s="3">
        <f t="shared" si="28"/>
        <v>60000</v>
      </c>
      <c r="EW52" s="3" t="s">
        <v>124</v>
      </c>
      <c r="EX52" s="14"/>
      <c r="EY52" s="3">
        <v>60000</v>
      </c>
      <c r="EZ52" s="3">
        <f t="shared" si="29"/>
        <v>0</v>
      </c>
      <c r="FA52" s="3" t="s">
        <v>170</v>
      </c>
      <c r="FB52" s="14"/>
      <c r="FC52" s="3">
        <v>1000</v>
      </c>
      <c r="FD52" s="3">
        <f t="shared" si="30"/>
        <v>0</v>
      </c>
      <c r="FE52" s="3" t="s">
        <v>126</v>
      </c>
      <c r="FF52" s="3">
        <f t="shared" si="54"/>
        <v>0</v>
      </c>
      <c r="FG52" s="3">
        <v>6000</v>
      </c>
      <c r="FH52" s="3">
        <f t="shared" si="31"/>
        <v>0</v>
      </c>
      <c r="FI52" s="1">
        <f t="shared" si="32"/>
        <v>5060000</v>
      </c>
      <c r="FJ52" s="3" t="s">
        <v>139</v>
      </c>
      <c r="FK52" s="2">
        <v>40</v>
      </c>
      <c r="FL52" s="2">
        <v>6000</v>
      </c>
      <c r="FM52" s="3">
        <f t="shared" si="33"/>
        <v>240000</v>
      </c>
      <c r="FN52" s="3" t="s">
        <v>139</v>
      </c>
      <c r="FO52" s="14"/>
      <c r="FP52" s="3">
        <v>6000</v>
      </c>
      <c r="FQ52" s="3">
        <f t="shared" si="55"/>
        <v>0</v>
      </c>
      <c r="FR52" s="3" t="s">
        <v>139</v>
      </c>
      <c r="FS52" s="13"/>
      <c r="FT52" s="15">
        <v>6000</v>
      </c>
      <c r="FU52" s="3">
        <f t="shared" si="34"/>
        <v>0</v>
      </c>
      <c r="FV52" s="3" t="s">
        <v>139</v>
      </c>
      <c r="FW52" s="14"/>
      <c r="FX52" s="3">
        <v>8000</v>
      </c>
      <c r="FY52" s="3">
        <f t="shared" si="35"/>
        <v>0</v>
      </c>
      <c r="FZ52" s="3" t="s">
        <v>139</v>
      </c>
      <c r="GA52" s="3">
        <v>2</v>
      </c>
      <c r="GB52" s="3">
        <v>8000</v>
      </c>
      <c r="GC52" s="3">
        <f t="shared" si="36"/>
        <v>16000</v>
      </c>
      <c r="GD52" s="3" t="s">
        <v>139</v>
      </c>
      <c r="GE52" s="3">
        <v>10</v>
      </c>
      <c r="GF52" s="3">
        <v>10000</v>
      </c>
      <c r="GG52" s="3">
        <f t="shared" si="37"/>
        <v>100000</v>
      </c>
      <c r="GH52" s="3" t="s">
        <v>139</v>
      </c>
      <c r="GI52" s="14"/>
      <c r="GJ52" s="14"/>
      <c r="GK52" s="3">
        <f t="shared" si="38"/>
        <v>0</v>
      </c>
      <c r="GL52" s="92">
        <f t="shared" si="39"/>
        <v>356000</v>
      </c>
      <c r="GM52" s="8">
        <f t="shared" si="40"/>
        <v>6986000</v>
      </c>
      <c r="GN52" s="8">
        <f t="shared" si="41"/>
        <v>8000</v>
      </c>
      <c r="GO52" s="104">
        <v>2000</v>
      </c>
      <c r="GP52" s="8">
        <f t="shared" si="56"/>
        <v>16000000</v>
      </c>
      <c r="GQ52" s="8">
        <f t="shared" si="42"/>
        <v>40000000</v>
      </c>
      <c r="GR52" s="8">
        <f t="shared" si="43"/>
        <v>9014000</v>
      </c>
      <c r="GS52" s="8">
        <f t="shared" si="44"/>
        <v>33014000</v>
      </c>
      <c r="GT52" s="15" t="s">
        <v>1785</v>
      </c>
      <c r="GU52" s="47" t="s">
        <v>902</v>
      </c>
    </row>
    <row r="53" spans="1:203" s="38" customFormat="1" ht="158.25" customHeight="1">
      <c r="A53" s="44">
        <v>54</v>
      </c>
      <c r="B53" s="33" t="s">
        <v>786</v>
      </c>
      <c r="C53" s="34" t="s">
        <v>853</v>
      </c>
      <c r="D53" s="34" t="s">
        <v>788</v>
      </c>
      <c r="E53" s="34" t="s">
        <v>857</v>
      </c>
      <c r="F53" s="35" t="s">
        <v>862</v>
      </c>
      <c r="G53" s="34" t="s">
        <v>888</v>
      </c>
      <c r="H53" s="34" t="s">
        <v>84</v>
      </c>
      <c r="I53" s="35" t="s">
        <v>913</v>
      </c>
      <c r="J53" s="34" t="s">
        <v>914</v>
      </c>
      <c r="K53" s="34" t="s">
        <v>915</v>
      </c>
      <c r="L53" s="35" t="s">
        <v>916</v>
      </c>
      <c r="M53" s="35" t="s">
        <v>892</v>
      </c>
      <c r="N53" s="34" t="s">
        <v>917</v>
      </c>
      <c r="O53" s="34" t="s">
        <v>893</v>
      </c>
      <c r="P53" s="34" t="s">
        <v>918</v>
      </c>
      <c r="Q53" s="39" t="s">
        <v>895</v>
      </c>
      <c r="R53" s="35">
        <v>2000</v>
      </c>
      <c r="S53" s="35">
        <v>2500</v>
      </c>
      <c r="T53" s="35">
        <v>1800</v>
      </c>
      <c r="U53" s="35">
        <v>90</v>
      </c>
      <c r="V53" s="35">
        <v>115</v>
      </c>
      <c r="W53" s="35" t="s">
        <v>896</v>
      </c>
      <c r="X53" s="35">
        <v>10</v>
      </c>
      <c r="Y53" s="40">
        <v>20</v>
      </c>
      <c r="Z53" s="34" t="s">
        <v>897</v>
      </c>
      <c r="AA53" s="34" t="s">
        <v>898</v>
      </c>
      <c r="AB53" s="35" t="s">
        <v>899</v>
      </c>
      <c r="AC53" s="3">
        <v>50000</v>
      </c>
      <c r="AD53" s="35">
        <v>15</v>
      </c>
      <c r="AE53" s="34"/>
      <c r="AF53" s="3">
        <v>80000</v>
      </c>
      <c r="AG53" s="3">
        <f t="shared" si="45"/>
        <v>750000</v>
      </c>
      <c r="AH53" s="34" t="s">
        <v>925</v>
      </c>
      <c r="AI53" s="34">
        <v>300</v>
      </c>
      <c r="AJ53" s="15">
        <v>1000</v>
      </c>
      <c r="AK53" s="36">
        <v>400</v>
      </c>
      <c r="AL53" s="15">
        <v>6000</v>
      </c>
      <c r="AM53" s="37">
        <v>50</v>
      </c>
      <c r="AN53" s="15">
        <v>3000</v>
      </c>
      <c r="AO53" s="37"/>
      <c r="AP53" s="15">
        <v>6000</v>
      </c>
      <c r="AQ53" s="2">
        <f t="shared" si="0"/>
        <v>2850000</v>
      </c>
      <c r="AR53" s="34" t="s">
        <v>946</v>
      </c>
      <c r="AS53" s="34" t="s">
        <v>945</v>
      </c>
      <c r="AT53" s="2" t="s">
        <v>139</v>
      </c>
      <c r="AU53" s="36"/>
      <c r="AV53" s="3">
        <v>6000</v>
      </c>
      <c r="AW53" s="2">
        <f t="shared" si="134"/>
        <v>0</v>
      </c>
      <c r="AX53" s="3" t="s">
        <v>139</v>
      </c>
      <c r="AY53" s="34"/>
      <c r="AZ53" s="3">
        <v>6000</v>
      </c>
      <c r="BA53" s="3">
        <f t="shared" si="2"/>
        <v>0</v>
      </c>
      <c r="BB53" s="3" t="s">
        <v>139</v>
      </c>
      <c r="BC53" s="34"/>
      <c r="BD53" s="3">
        <v>6000</v>
      </c>
      <c r="BE53" s="3">
        <f t="shared" si="3"/>
        <v>0</v>
      </c>
      <c r="BF53" s="3" t="s">
        <v>125</v>
      </c>
      <c r="BG53" s="14"/>
      <c r="BH53" s="3">
        <v>6000</v>
      </c>
      <c r="BI53" s="3">
        <f t="shared" ref="BI53:BI59" si="147">BG53*BH53</f>
        <v>0</v>
      </c>
      <c r="BJ53" s="13" t="s">
        <v>20</v>
      </c>
      <c r="BK53" s="14"/>
      <c r="BL53" s="3">
        <v>1000</v>
      </c>
      <c r="BM53" s="3">
        <f t="shared" si="62"/>
        <v>0</v>
      </c>
      <c r="BN53" s="2" t="s">
        <v>126</v>
      </c>
      <c r="BO53" s="14"/>
      <c r="BP53" s="2">
        <v>3000</v>
      </c>
      <c r="BQ53" s="14">
        <f t="shared" ref="BQ53:BQ57" si="148">BO53*BP53</f>
        <v>0</v>
      </c>
      <c r="BR53" s="2" t="s">
        <v>126</v>
      </c>
      <c r="BS53" s="14"/>
      <c r="BT53" s="2">
        <v>6000</v>
      </c>
      <c r="BU53" s="3">
        <f t="shared" si="135"/>
        <v>0</v>
      </c>
      <c r="BV53" s="2" t="s">
        <v>126</v>
      </c>
      <c r="BW53" s="2"/>
      <c r="BX53" s="2">
        <v>6000</v>
      </c>
      <c r="BY53" s="3">
        <f t="shared" si="136"/>
        <v>0</v>
      </c>
      <c r="BZ53" s="92">
        <f t="shared" si="146"/>
        <v>0</v>
      </c>
      <c r="CA53" s="2" t="s">
        <v>139</v>
      </c>
      <c r="CB53" s="3">
        <v>5</v>
      </c>
      <c r="CC53" s="3">
        <v>8000</v>
      </c>
      <c r="CD53" s="3">
        <f t="shared" si="10"/>
        <v>40000</v>
      </c>
      <c r="CE53" s="2" t="s">
        <v>139</v>
      </c>
      <c r="CF53" s="2">
        <v>30</v>
      </c>
      <c r="CG53" s="2">
        <v>6000</v>
      </c>
      <c r="CH53" s="3">
        <f t="shared" si="11"/>
        <v>180000</v>
      </c>
      <c r="CI53" s="3" t="s">
        <v>139</v>
      </c>
      <c r="CJ53" s="3">
        <v>1</v>
      </c>
      <c r="CK53" s="14"/>
      <c r="CL53" s="3">
        <f t="shared" si="12"/>
        <v>0</v>
      </c>
      <c r="CM53" s="5">
        <f t="shared" si="13"/>
        <v>220000</v>
      </c>
      <c r="CN53" s="3" t="s">
        <v>125</v>
      </c>
      <c r="CO53" s="3">
        <v>0</v>
      </c>
      <c r="CP53" s="3">
        <v>6000</v>
      </c>
      <c r="CQ53" s="3">
        <f t="shared" si="137"/>
        <v>0</v>
      </c>
      <c r="CR53" s="3" t="s">
        <v>125</v>
      </c>
      <c r="CS53" s="3">
        <v>75</v>
      </c>
      <c r="CT53" s="3">
        <v>6000</v>
      </c>
      <c r="CU53" s="3">
        <f t="shared" si="138"/>
        <v>450000</v>
      </c>
      <c r="CV53" s="3" t="s">
        <v>125</v>
      </c>
      <c r="CW53" s="3">
        <v>30</v>
      </c>
      <c r="CX53" s="3">
        <v>6000</v>
      </c>
      <c r="CY53" s="3">
        <f t="shared" si="139"/>
        <v>180000</v>
      </c>
      <c r="CZ53" s="3" t="s">
        <v>125</v>
      </c>
      <c r="DA53" s="3">
        <v>15</v>
      </c>
      <c r="DB53" s="3">
        <v>6000</v>
      </c>
      <c r="DC53" s="3">
        <f t="shared" si="140"/>
        <v>90000</v>
      </c>
      <c r="DD53" s="3" t="s">
        <v>125</v>
      </c>
      <c r="DE53" s="3">
        <v>5</v>
      </c>
      <c r="DF53" s="3">
        <v>6000</v>
      </c>
      <c r="DG53" s="3">
        <f t="shared" si="141"/>
        <v>30000</v>
      </c>
      <c r="DH53" s="3" t="s">
        <v>125</v>
      </c>
      <c r="DI53" s="3">
        <v>100</v>
      </c>
      <c r="DJ53" s="3">
        <v>6000</v>
      </c>
      <c r="DK53" s="3">
        <f t="shared" si="142"/>
        <v>600000</v>
      </c>
      <c r="DL53" s="3" t="s">
        <v>125</v>
      </c>
      <c r="DM53" s="3"/>
      <c r="DN53" s="3">
        <v>6000</v>
      </c>
      <c r="DO53" s="3">
        <f t="shared" si="143"/>
        <v>0</v>
      </c>
      <c r="DP53" s="3" t="s">
        <v>125</v>
      </c>
      <c r="DQ53" s="3"/>
      <c r="DR53" s="3">
        <v>6000</v>
      </c>
      <c r="DS53" s="3">
        <f t="shared" si="144"/>
        <v>0</v>
      </c>
      <c r="DT53" s="6">
        <f t="shared" si="145"/>
        <v>1350000</v>
      </c>
      <c r="DU53" s="2" t="s">
        <v>157</v>
      </c>
      <c r="DV53" s="3">
        <f t="shared" si="46"/>
        <v>2000</v>
      </c>
      <c r="DW53" s="3">
        <f t="shared" si="47"/>
        <v>1800</v>
      </c>
      <c r="DX53" s="3">
        <f t="shared" si="23"/>
        <v>3600000</v>
      </c>
      <c r="DY53" s="3" t="s">
        <v>127</v>
      </c>
      <c r="DZ53" s="3">
        <f t="shared" si="48"/>
        <v>15</v>
      </c>
      <c r="EA53" s="2">
        <v>50000</v>
      </c>
      <c r="EB53" s="3">
        <f t="shared" si="24"/>
        <v>750000</v>
      </c>
      <c r="EC53" s="2" t="s">
        <v>127</v>
      </c>
      <c r="ED53" s="3">
        <f t="shared" si="49"/>
        <v>0</v>
      </c>
      <c r="EE53" s="3">
        <v>80000</v>
      </c>
      <c r="EF53" s="3">
        <f t="shared" si="25"/>
        <v>0</v>
      </c>
      <c r="EG53" s="2" t="s">
        <v>157</v>
      </c>
      <c r="EH53" s="3">
        <f t="shared" si="50"/>
        <v>400</v>
      </c>
      <c r="EI53" s="3">
        <v>6000</v>
      </c>
      <c r="EJ53" s="7">
        <f t="shared" si="124"/>
        <v>2400000</v>
      </c>
      <c r="EK53" s="2" t="s">
        <v>157</v>
      </c>
      <c r="EL53" s="13">
        <f>AM53</f>
        <v>50</v>
      </c>
      <c r="EM53" s="3">
        <v>3000</v>
      </c>
      <c r="EN53" s="3">
        <f t="shared" si="27"/>
        <v>150000</v>
      </c>
      <c r="EO53" s="3" t="s">
        <v>126</v>
      </c>
      <c r="EP53" s="3">
        <f t="shared" si="52"/>
        <v>300</v>
      </c>
      <c r="EQ53" s="3">
        <v>1000</v>
      </c>
      <c r="ER53" s="7">
        <f t="shared" si="53"/>
        <v>300000</v>
      </c>
      <c r="ES53" s="3" t="s">
        <v>124</v>
      </c>
      <c r="ET53" s="2">
        <v>1</v>
      </c>
      <c r="EU53" s="3">
        <v>60000</v>
      </c>
      <c r="EV53" s="3">
        <f t="shared" si="28"/>
        <v>60000</v>
      </c>
      <c r="EW53" s="3" t="s">
        <v>124</v>
      </c>
      <c r="EX53" s="14"/>
      <c r="EY53" s="3">
        <v>60000</v>
      </c>
      <c r="EZ53" s="3">
        <f t="shared" si="29"/>
        <v>0</v>
      </c>
      <c r="FA53" s="3" t="s">
        <v>170</v>
      </c>
      <c r="FB53" s="14"/>
      <c r="FC53" s="3">
        <v>1000</v>
      </c>
      <c r="FD53" s="3">
        <f t="shared" si="30"/>
        <v>0</v>
      </c>
      <c r="FE53" s="3" t="s">
        <v>126</v>
      </c>
      <c r="FF53" s="3">
        <f t="shared" si="54"/>
        <v>0</v>
      </c>
      <c r="FG53" s="3">
        <v>6000</v>
      </c>
      <c r="FH53" s="3">
        <f t="shared" si="31"/>
        <v>0</v>
      </c>
      <c r="FI53" s="1">
        <f t="shared" si="32"/>
        <v>7260000</v>
      </c>
      <c r="FJ53" s="3" t="s">
        <v>139</v>
      </c>
      <c r="FK53" s="2">
        <v>40</v>
      </c>
      <c r="FL53" s="2">
        <v>6000</v>
      </c>
      <c r="FM53" s="3">
        <f t="shared" si="33"/>
        <v>240000</v>
      </c>
      <c r="FN53" s="3" t="s">
        <v>139</v>
      </c>
      <c r="FO53" s="14"/>
      <c r="FP53" s="3">
        <v>6000</v>
      </c>
      <c r="FQ53" s="3">
        <f t="shared" si="55"/>
        <v>0</v>
      </c>
      <c r="FR53" s="3" t="s">
        <v>139</v>
      </c>
      <c r="FS53" s="13"/>
      <c r="FT53" s="15">
        <v>6000</v>
      </c>
      <c r="FU53" s="3">
        <f t="shared" si="34"/>
        <v>0</v>
      </c>
      <c r="FV53" s="3" t="s">
        <v>139</v>
      </c>
      <c r="FW53" s="14"/>
      <c r="FX53" s="3">
        <v>8000</v>
      </c>
      <c r="FY53" s="3">
        <f t="shared" si="35"/>
        <v>0</v>
      </c>
      <c r="FZ53" s="3" t="s">
        <v>139</v>
      </c>
      <c r="GA53" s="3">
        <v>2</v>
      </c>
      <c r="GB53" s="3">
        <v>8000</v>
      </c>
      <c r="GC53" s="3">
        <f t="shared" si="36"/>
        <v>16000</v>
      </c>
      <c r="GD53" s="3" t="s">
        <v>139</v>
      </c>
      <c r="GE53" s="3">
        <v>10</v>
      </c>
      <c r="GF53" s="3">
        <v>10000</v>
      </c>
      <c r="GG53" s="3">
        <f t="shared" si="37"/>
        <v>100000</v>
      </c>
      <c r="GH53" s="3" t="s">
        <v>139</v>
      </c>
      <c r="GI53" s="14"/>
      <c r="GJ53" s="14"/>
      <c r="GK53" s="3">
        <f t="shared" si="38"/>
        <v>0</v>
      </c>
      <c r="GL53" s="92">
        <f t="shared" si="39"/>
        <v>356000</v>
      </c>
      <c r="GM53" s="8">
        <f t="shared" si="40"/>
        <v>9186000</v>
      </c>
      <c r="GN53" s="8">
        <f t="shared" si="41"/>
        <v>10000</v>
      </c>
      <c r="GO53" s="102">
        <v>2000</v>
      </c>
      <c r="GP53" s="8">
        <f t="shared" si="56"/>
        <v>20000000</v>
      </c>
      <c r="GQ53" s="8">
        <f t="shared" si="42"/>
        <v>40000000</v>
      </c>
      <c r="GR53" s="8">
        <f t="shared" si="43"/>
        <v>10814000</v>
      </c>
      <c r="GS53" s="8">
        <f t="shared" si="44"/>
        <v>30814000</v>
      </c>
      <c r="GT53" s="15" t="s">
        <v>1786</v>
      </c>
      <c r="GU53" s="49" t="s">
        <v>919</v>
      </c>
    </row>
    <row r="54" spans="1:203" s="38" customFormat="1" ht="158.25" customHeight="1">
      <c r="A54" s="44">
        <v>55</v>
      </c>
      <c r="B54" s="33" t="s">
        <v>786</v>
      </c>
      <c r="C54" s="34" t="s">
        <v>853</v>
      </c>
      <c r="D54" s="34" t="s">
        <v>789</v>
      </c>
      <c r="E54" s="34" t="s">
        <v>858</v>
      </c>
      <c r="F54" s="35" t="s">
        <v>863</v>
      </c>
      <c r="G54" s="34" t="s">
        <v>933</v>
      </c>
      <c r="H54" s="34" t="s">
        <v>84</v>
      </c>
      <c r="I54" s="35" t="s">
        <v>934</v>
      </c>
      <c r="J54" s="34" t="s">
        <v>935</v>
      </c>
      <c r="K54" s="35" t="s">
        <v>936</v>
      </c>
      <c r="L54" s="35" t="s">
        <v>937</v>
      </c>
      <c r="M54" s="35" t="s">
        <v>892</v>
      </c>
      <c r="N54" s="34" t="s">
        <v>917</v>
      </c>
      <c r="O54" s="34" t="s">
        <v>893</v>
      </c>
      <c r="P54" s="34" t="s">
        <v>894</v>
      </c>
      <c r="Q54" s="39" t="s">
        <v>895</v>
      </c>
      <c r="R54" s="35">
        <v>2000</v>
      </c>
      <c r="S54" s="35">
        <v>2500</v>
      </c>
      <c r="T54" s="35">
        <v>1500</v>
      </c>
      <c r="U54" s="35">
        <v>90</v>
      </c>
      <c r="V54" s="35">
        <v>110</v>
      </c>
      <c r="W54" s="35" t="s">
        <v>896</v>
      </c>
      <c r="X54" s="34">
        <v>10</v>
      </c>
      <c r="Y54" s="36">
        <v>20</v>
      </c>
      <c r="Z54" s="34" t="s">
        <v>897</v>
      </c>
      <c r="AA54" s="34" t="s">
        <v>898</v>
      </c>
      <c r="AB54" s="35" t="s">
        <v>899</v>
      </c>
      <c r="AC54" s="3">
        <v>50000</v>
      </c>
      <c r="AD54" s="34">
        <v>10</v>
      </c>
      <c r="AE54" s="34"/>
      <c r="AF54" s="3">
        <v>80000</v>
      </c>
      <c r="AG54" s="3">
        <f t="shared" si="45"/>
        <v>500000</v>
      </c>
      <c r="AH54" s="34" t="s">
        <v>925</v>
      </c>
      <c r="AI54" s="34">
        <v>300</v>
      </c>
      <c r="AJ54" s="15">
        <v>1000</v>
      </c>
      <c r="AK54" s="36">
        <v>400</v>
      </c>
      <c r="AL54" s="15">
        <v>6000</v>
      </c>
      <c r="AM54" s="37">
        <v>50</v>
      </c>
      <c r="AN54" s="15">
        <v>3000</v>
      </c>
      <c r="AO54" s="37">
        <v>0</v>
      </c>
      <c r="AP54" s="15">
        <v>6000</v>
      </c>
      <c r="AQ54" s="2">
        <f t="shared" si="0"/>
        <v>2850000</v>
      </c>
      <c r="AR54" s="34" t="s">
        <v>946</v>
      </c>
      <c r="AS54" s="34" t="s">
        <v>945</v>
      </c>
      <c r="AT54" s="2" t="s">
        <v>139</v>
      </c>
      <c r="AU54" s="36"/>
      <c r="AV54" s="3">
        <v>6000</v>
      </c>
      <c r="AW54" s="2">
        <f t="shared" si="134"/>
        <v>0</v>
      </c>
      <c r="AX54" s="3" t="s">
        <v>139</v>
      </c>
      <c r="AY54" s="34"/>
      <c r="AZ54" s="3">
        <v>6000</v>
      </c>
      <c r="BA54" s="3">
        <f t="shared" si="2"/>
        <v>0</v>
      </c>
      <c r="BB54" s="3" t="s">
        <v>139</v>
      </c>
      <c r="BC54" s="34"/>
      <c r="BD54" s="3">
        <v>6000</v>
      </c>
      <c r="BE54" s="3">
        <f t="shared" si="3"/>
        <v>0</v>
      </c>
      <c r="BF54" s="3" t="s">
        <v>125</v>
      </c>
      <c r="BG54" s="14"/>
      <c r="BH54" s="3">
        <v>6000</v>
      </c>
      <c r="BI54" s="3">
        <f t="shared" si="147"/>
        <v>0</v>
      </c>
      <c r="BJ54" s="13" t="s">
        <v>20</v>
      </c>
      <c r="BK54" s="14"/>
      <c r="BL54" s="3">
        <v>1000</v>
      </c>
      <c r="BM54" s="3">
        <f t="shared" si="62"/>
        <v>0</v>
      </c>
      <c r="BN54" s="2" t="s">
        <v>126</v>
      </c>
      <c r="BO54" s="14"/>
      <c r="BP54" s="2">
        <v>3000</v>
      </c>
      <c r="BQ54" s="14">
        <f t="shared" si="148"/>
        <v>0</v>
      </c>
      <c r="BR54" s="2" t="s">
        <v>126</v>
      </c>
      <c r="BS54" s="14"/>
      <c r="BT54" s="2">
        <v>6000</v>
      </c>
      <c r="BU54" s="3">
        <f t="shared" si="135"/>
        <v>0</v>
      </c>
      <c r="BV54" s="2" t="s">
        <v>126</v>
      </c>
      <c r="BW54" s="2"/>
      <c r="BX54" s="2">
        <v>6000</v>
      </c>
      <c r="BY54" s="3">
        <f t="shared" si="136"/>
        <v>0</v>
      </c>
      <c r="BZ54" s="92">
        <f t="shared" si="146"/>
        <v>0</v>
      </c>
      <c r="CA54" s="2" t="s">
        <v>139</v>
      </c>
      <c r="CB54" s="3">
        <v>5</v>
      </c>
      <c r="CC54" s="3">
        <v>8000</v>
      </c>
      <c r="CD54" s="3">
        <f t="shared" si="10"/>
        <v>40000</v>
      </c>
      <c r="CE54" s="2" t="s">
        <v>139</v>
      </c>
      <c r="CF54" s="2">
        <v>30</v>
      </c>
      <c r="CG54" s="2">
        <v>6000</v>
      </c>
      <c r="CH54" s="3">
        <f t="shared" si="11"/>
        <v>180000</v>
      </c>
      <c r="CI54" s="3" t="s">
        <v>139</v>
      </c>
      <c r="CJ54" s="3">
        <v>1</v>
      </c>
      <c r="CK54" s="14"/>
      <c r="CL54" s="3">
        <f t="shared" si="12"/>
        <v>0</v>
      </c>
      <c r="CM54" s="5">
        <f t="shared" si="13"/>
        <v>220000</v>
      </c>
      <c r="CN54" s="3" t="s">
        <v>125</v>
      </c>
      <c r="CO54" s="3">
        <v>0</v>
      </c>
      <c r="CP54" s="3">
        <v>6000</v>
      </c>
      <c r="CQ54" s="3">
        <f t="shared" si="137"/>
        <v>0</v>
      </c>
      <c r="CR54" s="3" t="s">
        <v>125</v>
      </c>
      <c r="CS54" s="3">
        <v>75</v>
      </c>
      <c r="CT54" s="3">
        <v>6000</v>
      </c>
      <c r="CU54" s="3">
        <f t="shared" si="138"/>
        <v>450000</v>
      </c>
      <c r="CV54" s="3" t="s">
        <v>125</v>
      </c>
      <c r="CW54" s="3">
        <v>30</v>
      </c>
      <c r="CX54" s="3">
        <v>6000</v>
      </c>
      <c r="CY54" s="3">
        <f t="shared" si="139"/>
        <v>180000</v>
      </c>
      <c r="CZ54" s="3" t="s">
        <v>125</v>
      </c>
      <c r="DA54" s="3">
        <v>15</v>
      </c>
      <c r="DB54" s="3">
        <v>6000</v>
      </c>
      <c r="DC54" s="3">
        <f t="shared" si="140"/>
        <v>90000</v>
      </c>
      <c r="DD54" s="3" t="s">
        <v>125</v>
      </c>
      <c r="DE54" s="3">
        <v>5</v>
      </c>
      <c r="DF54" s="3">
        <v>6000</v>
      </c>
      <c r="DG54" s="3">
        <f t="shared" si="141"/>
        <v>30000</v>
      </c>
      <c r="DH54" s="3" t="s">
        <v>125</v>
      </c>
      <c r="DI54" s="3">
        <v>100</v>
      </c>
      <c r="DJ54" s="3">
        <v>6000</v>
      </c>
      <c r="DK54" s="3">
        <f t="shared" si="142"/>
        <v>600000</v>
      </c>
      <c r="DL54" s="3" t="s">
        <v>125</v>
      </c>
      <c r="DM54" s="3"/>
      <c r="DN54" s="3">
        <v>6000</v>
      </c>
      <c r="DO54" s="3">
        <f t="shared" si="143"/>
        <v>0</v>
      </c>
      <c r="DP54" s="3" t="s">
        <v>125</v>
      </c>
      <c r="DQ54" s="3"/>
      <c r="DR54" s="3">
        <v>6000</v>
      </c>
      <c r="DS54" s="3">
        <f t="shared" si="144"/>
        <v>0</v>
      </c>
      <c r="DT54" s="6">
        <f t="shared" si="145"/>
        <v>1350000</v>
      </c>
      <c r="DU54" s="2" t="s">
        <v>157</v>
      </c>
      <c r="DV54" s="3">
        <f t="shared" si="46"/>
        <v>2000</v>
      </c>
      <c r="DW54" s="3">
        <f t="shared" si="47"/>
        <v>1500</v>
      </c>
      <c r="DX54" s="3">
        <f t="shared" si="23"/>
        <v>3000000</v>
      </c>
      <c r="DY54" s="3" t="s">
        <v>127</v>
      </c>
      <c r="DZ54" s="3">
        <f t="shared" si="48"/>
        <v>10</v>
      </c>
      <c r="EA54" s="2">
        <v>50000</v>
      </c>
      <c r="EB54" s="3">
        <f t="shared" si="24"/>
        <v>500000</v>
      </c>
      <c r="EC54" s="2" t="s">
        <v>127</v>
      </c>
      <c r="ED54" s="3">
        <f t="shared" si="49"/>
        <v>0</v>
      </c>
      <c r="EE54" s="3">
        <v>80000</v>
      </c>
      <c r="EF54" s="3">
        <f t="shared" si="25"/>
        <v>0</v>
      </c>
      <c r="EG54" s="2" t="s">
        <v>157</v>
      </c>
      <c r="EH54" s="3">
        <f t="shared" si="50"/>
        <v>400</v>
      </c>
      <c r="EI54" s="3">
        <v>6000</v>
      </c>
      <c r="EJ54" s="7">
        <f t="shared" si="124"/>
        <v>2400000</v>
      </c>
      <c r="EK54" s="2" t="s">
        <v>157</v>
      </c>
      <c r="EL54" s="13">
        <f t="shared" ref="EL54:EL94" si="149">AM54</f>
        <v>50</v>
      </c>
      <c r="EM54" s="3">
        <v>3000</v>
      </c>
      <c r="EN54" s="3">
        <f t="shared" si="27"/>
        <v>150000</v>
      </c>
      <c r="EO54" s="3" t="s">
        <v>126</v>
      </c>
      <c r="EP54" s="3">
        <f t="shared" si="52"/>
        <v>300</v>
      </c>
      <c r="EQ54" s="3">
        <v>1000</v>
      </c>
      <c r="ER54" s="7">
        <f t="shared" si="53"/>
        <v>300000</v>
      </c>
      <c r="ES54" s="3" t="s">
        <v>124</v>
      </c>
      <c r="ET54" s="2">
        <v>1</v>
      </c>
      <c r="EU54" s="3">
        <v>60000</v>
      </c>
      <c r="EV54" s="3">
        <f t="shared" si="28"/>
        <v>60000</v>
      </c>
      <c r="EW54" s="3" t="s">
        <v>124</v>
      </c>
      <c r="EX54" s="14"/>
      <c r="EY54" s="3">
        <v>60000</v>
      </c>
      <c r="EZ54" s="3">
        <f t="shared" si="29"/>
        <v>0</v>
      </c>
      <c r="FA54" s="3" t="s">
        <v>170</v>
      </c>
      <c r="FB54" s="14"/>
      <c r="FC54" s="3">
        <v>1000</v>
      </c>
      <c r="FD54" s="3">
        <f t="shared" si="30"/>
        <v>0</v>
      </c>
      <c r="FE54" s="3" t="s">
        <v>126</v>
      </c>
      <c r="FF54" s="3">
        <f t="shared" si="54"/>
        <v>0</v>
      </c>
      <c r="FG54" s="3">
        <v>6000</v>
      </c>
      <c r="FH54" s="3">
        <f t="shared" si="31"/>
        <v>0</v>
      </c>
      <c r="FI54" s="1">
        <f t="shared" si="32"/>
        <v>6410000</v>
      </c>
      <c r="FJ54" s="3" t="s">
        <v>139</v>
      </c>
      <c r="FK54" s="2">
        <v>40</v>
      </c>
      <c r="FL54" s="2">
        <v>6000</v>
      </c>
      <c r="FM54" s="3">
        <f t="shared" si="33"/>
        <v>240000</v>
      </c>
      <c r="FN54" s="3" t="s">
        <v>139</v>
      </c>
      <c r="FO54" s="14"/>
      <c r="FP54" s="3">
        <v>6000</v>
      </c>
      <c r="FQ54" s="3">
        <f t="shared" si="55"/>
        <v>0</v>
      </c>
      <c r="FR54" s="3" t="s">
        <v>139</v>
      </c>
      <c r="FS54" s="13"/>
      <c r="FT54" s="15">
        <v>6000</v>
      </c>
      <c r="FU54" s="3">
        <f t="shared" si="34"/>
        <v>0</v>
      </c>
      <c r="FV54" s="3" t="s">
        <v>139</v>
      </c>
      <c r="FW54" s="14"/>
      <c r="FX54" s="3">
        <v>8000</v>
      </c>
      <c r="FY54" s="3">
        <f t="shared" si="35"/>
        <v>0</v>
      </c>
      <c r="FZ54" s="3" t="s">
        <v>139</v>
      </c>
      <c r="GA54" s="3">
        <v>2</v>
      </c>
      <c r="GB54" s="3">
        <v>8000</v>
      </c>
      <c r="GC54" s="3">
        <f t="shared" si="36"/>
        <v>16000</v>
      </c>
      <c r="GD54" s="3" t="s">
        <v>139</v>
      </c>
      <c r="GE54" s="3">
        <v>10</v>
      </c>
      <c r="GF54" s="3">
        <v>10000</v>
      </c>
      <c r="GG54" s="3">
        <f t="shared" si="37"/>
        <v>100000</v>
      </c>
      <c r="GH54" s="3" t="s">
        <v>139</v>
      </c>
      <c r="GI54" s="14"/>
      <c r="GJ54" s="14"/>
      <c r="GK54" s="3">
        <f t="shared" si="38"/>
        <v>0</v>
      </c>
      <c r="GL54" s="92">
        <f t="shared" si="39"/>
        <v>356000</v>
      </c>
      <c r="GM54" s="8">
        <f t="shared" si="40"/>
        <v>8336000</v>
      </c>
      <c r="GN54" s="8">
        <f t="shared" si="41"/>
        <v>10000</v>
      </c>
      <c r="GO54" s="102">
        <v>2000</v>
      </c>
      <c r="GP54" s="8">
        <f t="shared" si="56"/>
        <v>20000000</v>
      </c>
      <c r="GQ54" s="8">
        <f t="shared" si="42"/>
        <v>40000000</v>
      </c>
      <c r="GR54" s="8">
        <f t="shared" si="43"/>
        <v>11664000</v>
      </c>
      <c r="GS54" s="8">
        <f t="shared" si="44"/>
        <v>31664000</v>
      </c>
      <c r="GT54" s="15" t="s">
        <v>1787</v>
      </c>
      <c r="GU54" s="49" t="s">
        <v>938</v>
      </c>
    </row>
    <row r="55" spans="1:203" s="38" customFormat="1" ht="158.25" customHeight="1">
      <c r="A55" s="44">
        <v>56</v>
      </c>
      <c r="B55" s="33" t="s">
        <v>786</v>
      </c>
      <c r="C55" s="34" t="s">
        <v>853</v>
      </c>
      <c r="D55" s="34" t="s">
        <v>790</v>
      </c>
      <c r="E55" s="34" t="s">
        <v>859</v>
      </c>
      <c r="F55" s="35" t="s">
        <v>864</v>
      </c>
      <c r="G55" s="34" t="s">
        <v>920</v>
      </c>
      <c r="H55" s="34" t="s">
        <v>84</v>
      </c>
      <c r="I55" s="35" t="s">
        <v>921</v>
      </c>
      <c r="J55" s="34" t="s">
        <v>922</v>
      </c>
      <c r="K55" s="34" t="s">
        <v>923</v>
      </c>
      <c r="L55" s="34" t="s">
        <v>924</v>
      </c>
      <c r="M55" s="35" t="s">
        <v>892</v>
      </c>
      <c r="N55" s="34" t="s">
        <v>917</v>
      </c>
      <c r="O55" s="34" t="s">
        <v>893</v>
      </c>
      <c r="P55" s="34" t="s">
        <v>918</v>
      </c>
      <c r="Q55" s="39" t="s">
        <v>895</v>
      </c>
      <c r="R55" s="35">
        <v>2000</v>
      </c>
      <c r="S55" s="35">
        <v>2500</v>
      </c>
      <c r="T55" s="35">
        <v>1500</v>
      </c>
      <c r="U55" s="35">
        <v>85</v>
      </c>
      <c r="V55" s="35">
        <v>110</v>
      </c>
      <c r="W55" s="35" t="s">
        <v>896</v>
      </c>
      <c r="X55" s="35">
        <v>10</v>
      </c>
      <c r="Y55" s="40">
        <v>20</v>
      </c>
      <c r="Z55" s="34" t="s">
        <v>897</v>
      </c>
      <c r="AA55" s="34" t="s">
        <v>898</v>
      </c>
      <c r="AB55" s="35" t="s">
        <v>899</v>
      </c>
      <c r="AC55" s="3">
        <v>50000</v>
      </c>
      <c r="AD55" s="35">
        <v>15</v>
      </c>
      <c r="AE55" s="34"/>
      <c r="AF55" s="3">
        <v>80000</v>
      </c>
      <c r="AG55" s="3">
        <f t="shared" si="45"/>
        <v>750000</v>
      </c>
      <c r="AH55" s="34" t="s">
        <v>925</v>
      </c>
      <c r="AI55" s="34">
        <v>300</v>
      </c>
      <c r="AJ55" s="15">
        <v>1000</v>
      </c>
      <c r="AK55" s="36">
        <v>400</v>
      </c>
      <c r="AL55" s="15">
        <v>6000</v>
      </c>
      <c r="AM55" s="37">
        <v>50</v>
      </c>
      <c r="AN55" s="15">
        <v>3000</v>
      </c>
      <c r="AO55" s="37">
        <v>0</v>
      </c>
      <c r="AP55" s="15">
        <v>6000</v>
      </c>
      <c r="AQ55" s="2">
        <f t="shared" si="0"/>
        <v>2850000</v>
      </c>
      <c r="AR55" s="34" t="s">
        <v>946</v>
      </c>
      <c r="AS55" s="34" t="s">
        <v>945</v>
      </c>
      <c r="AT55" s="2" t="s">
        <v>139</v>
      </c>
      <c r="AU55" s="36"/>
      <c r="AV55" s="3">
        <v>6000</v>
      </c>
      <c r="AW55" s="2">
        <f t="shared" si="134"/>
        <v>0</v>
      </c>
      <c r="AX55" s="3" t="s">
        <v>139</v>
      </c>
      <c r="AY55" s="34"/>
      <c r="AZ55" s="3">
        <v>6000</v>
      </c>
      <c r="BA55" s="3">
        <f t="shared" si="2"/>
        <v>0</v>
      </c>
      <c r="BB55" s="3" t="s">
        <v>139</v>
      </c>
      <c r="BC55" s="34"/>
      <c r="BD55" s="3">
        <v>6000</v>
      </c>
      <c r="BE55" s="3">
        <f t="shared" si="3"/>
        <v>0</v>
      </c>
      <c r="BF55" s="3" t="s">
        <v>125</v>
      </c>
      <c r="BG55" s="14"/>
      <c r="BH55" s="3">
        <v>6000</v>
      </c>
      <c r="BI55" s="3">
        <f t="shared" si="147"/>
        <v>0</v>
      </c>
      <c r="BJ55" s="13" t="s">
        <v>20</v>
      </c>
      <c r="BK55" s="14"/>
      <c r="BL55" s="3">
        <v>1000</v>
      </c>
      <c r="BM55" s="3">
        <f t="shared" si="62"/>
        <v>0</v>
      </c>
      <c r="BN55" s="2" t="s">
        <v>126</v>
      </c>
      <c r="BO55" s="14"/>
      <c r="BP55" s="2">
        <v>3000</v>
      </c>
      <c r="BQ55" s="14">
        <f t="shared" si="148"/>
        <v>0</v>
      </c>
      <c r="BR55" s="2" t="s">
        <v>126</v>
      </c>
      <c r="BS55" s="14"/>
      <c r="BT55" s="2">
        <v>6000</v>
      </c>
      <c r="BU55" s="3">
        <f t="shared" si="135"/>
        <v>0</v>
      </c>
      <c r="BV55" s="2" t="s">
        <v>126</v>
      </c>
      <c r="BW55" s="2"/>
      <c r="BX55" s="2">
        <v>6000</v>
      </c>
      <c r="BY55" s="3">
        <f t="shared" si="136"/>
        <v>0</v>
      </c>
      <c r="BZ55" s="92">
        <f t="shared" si="146"/>
        <v>0</v>
      </c>
      <c r="CA55" s="2" t="s">
        <v>139</v>
      </c>
      <c r="CB55" s="3">
        <v>5</v>
      </c>
      <c r="CC55" s="3">
        <v>8000</v>
      </c>
      <c r="CD55" s="3">
        <f t="shared" si="10"/>
        <v>40000</v>
      </c>
      <c r="CE55" s="2" t="s">
        <v>139</v>
      </c>
      <c r="CF55" s="2">
        <v>30</v>
      </c>
      <c r="CG55" s="2">
        <v>6000</v>
      </c>
      <c r="CH55" s="3">
        <f t="shared" si="11"/>
        <v>180000</v>
      </c>
      <c r="CI55" s="3" t="s">
        <v>139</v>
      </c>
      <c r="CJ55" s="3">
        <v>1</v>
      </c>
      <c r="CK55" s="14"/>
      <c r="CL55" s="3">
        <f t="shared" si="12"/>
        <v>0</v>
      </c>
      <c r="CM55" s="5">
        <f t="shared" si="13"/>
        <v>220000</v>
      </c>
      <c r="CN55" s="3" t="s">
        <v>125</v>
      </c>
      <c r="CO55" s="3">
        <v>0</v>
      </c>
      <c r="CP55" s="3">
        <v>6000</v>
      </c>
      <c r="CQ55" s="3">
        <f t="shared" si="137"/>
        <v>0</v>
      </c>
      <c r="CR55" s="3" t="s">
        <v>125</v>
      </c>
      <c r="CS55" s="3">
        <v>75</v>
      </c>
      <c r="CT55" s="3">
        <v>6000</v>
      </c>
      <c r="CU55" s="3">
        <f t="shared" si="138"/>
        <v>450000</v>
      </c>
      <c r="CV55" s="3" t="s">
        <v>125</v>
      </c>
      <c r="CW55" s="3">
        <v>30</v>
      </c>
      <c r="CX55" s="3">
        <v>6000</v>
      </c>
      <c r="CY55" s="3">
        <f t="shared" si="139"/>
        <v>180000</v>
      </c>
      <c r="CZ55" s="3" t="s">
        <v>125</v>
      </c>
      <c r="DA55" s="3">
        <v>15</v>
      </c>
      <c r="DB55" s="3">
        <v>6000</v>
      </c>
      <c r="DC55" s="3">
        <f t="shared" si="140"/>
        <v>90000</v>
      </c>
      <c r="DD55" s="3" t="s">
        <v>125</v>
      </c>
      <c r="DE55" s="3">
        <v>5</v>
      </c>
      <c r="DF55" s="3">
        <v>6000</v>
      </c>
      <c r="DG55" s="3">
        <f t="shared" si="141"/>
        <v>30000</v>
      </c>
      <c r="DH55" s="3" t="s">
        <v>125</v>
      </c>
      <c r="DI55" s="3">
        <v>100</v>
      </c>
      <c r="DJ55" s="3">
        <v>6000</v>
      </c>
      <c r="DK55" s="3">
        <f t="shared" si="142"/>
        <v>600000</v>
      </c>
      <c r="DL55" s="3" t="s">
        <v>125</v>
      </c>
      <c r="DM55" s="3"/>
      <c r="DN55" s="3">
        <v>6000</v>
      </c>
      <c r="DO55" s="3">
        <f t="shared" si="143"/>
        <v>0</v>
      </c>
      <c r="DP55" s="3" t="s">
        <v>125</v>
      </c>
      <c r="DQ55" s="3"/>
      <c r="DR55" s="3">
        <v>6000</v>
      </c>
      <c r="DS55" s="3">
        <f t="shared" si="144"/>
        <v>0</v>
      </c>
      <c r="DT55" s="6">
        <f t="shared" si="145"/>
        <v>1350000</v>
      </c>
      <c r="DU55" s="2" t="s">
        <v>157</v>
      </c>
      <c r="DV55" s="3">
        <f t="shared" si="46"/>
        <v>2000</v>
      </c>
      <c r="DW55" s="3">
        <f t="shared" si="47"/>
        <v>1500</v>
      </c>
      <c r="DX55" s="3">
        <f t="shared" si="23"/>
        <v>3000000</v>
      </c>
      <c r="DY55" s="3" t="s">
        <v>127</v>
      </c>
      <c r="DZ55" s="3">
        <f t="shared" si="48"/>
        <v>15</v>
      </c>
      <c r="EA55" s="2">
        <v>50000</v>
      </c>
      <c r="EB55" s="3">
        <f t="shared" si="24"/>
        <v>750000</v>
      </c>
      <c r="EC55" s="2" t="s">
        <v>127</v>
      </c>
      <c r="ED55" s="3">
        <f t="shared" si="49"/>
        <v>0</v>
      </c>
      <c r="EE55" s="3">
        <v>80000</v>
      </c>
      <c r="EF55" s="3">
        <f t="shared" si="25"/>
        <v>0</v>
      </c>
      <c r="EG55" s="2" t="s">
        <v>157</v>
      </c>
      <c r="EH55" s="3">
        <f t="shared" si="50"/>
        <v>400</v>
      </c>
      <c r="EI55" s="3">
        <v>6000</v>
      </c>
      <c r="EJ55" s="7">
        <f t="shared" si="124"/>
        <v>2400000</v>
      </c>
      <c r="EK55" s="2" t="s">
        <v>157</v>
      </c>
      <c r="EL55" s="13">
        <f t="shared" si="149"/>
        <v>50</v>
      </c>
      <c r="EM55" s="3">
        <v>3000</v>
      </c>
      <c r="EN55" s="3">
        <f t="shared" si="27"/>
        <v>150000</v>
      </c>
      <c r="EO55" s="3" t="s">
        <v>126</v>
      </c>
      <c r="EP55" s="3">
        <f t="shared" si="52"/>
        <v>300</v>
      </c>
      <c r="EQ55" s="3">
        <v>1000</v>
      </c>
      <c r="ER55" s="7">
        <f t="shared" si="53"/>
        <v>300000</v>
      </c>
      <c r="ES55" s="3" t="s">
        <v>124</v>
      </c>
      <c r="ET55" s="2">
        <v>1</v>
      </c>
      <c r="EU55" s="3">
        <v>60000</v>
      </c>
      <c r="EV55" s="3">
        <f t="shared" si="28"/>
        <v>60000</v>
      </c>
      <c r="EW55" s="3" t="s">
        <v>124</v>
      </c>
      <c r="EX55" s="14"/>
      <c r="EY55" s="3">
        <v>60000</v>
      </c>
      <c r="EZ55" s="3">
        <f t="shared" si="29"/>
        <v>0</v>
      </c>
      <c r="FA55" s="3" t="s">
        <v>170</v>
      </c>
      <c r="FB55" s="14"/>
      <c r="FC55" s="3">
        <v>1000</v>
      </c>
      <c r="FD55" s="3">
        <f t="shared" si="30"/>
        <v>0</v>
      </c>
      <c r="FE55" s="3" t="s">
        <v>126</v>
      </c>
      <c r="FF55" s="3">
        <f t="shared" si="54"/>
        <v>0</v>
      </c>
      <c r="FG55" s="3">
        <v>6000</v>
      </c>
      <c r="FH55" s="3">
        <f t="shared" si="31"/>
        <v>0</v>
      </c>
      <c r="FI55" s="1">
        <f t="shared" si="32"/>
        <v>6660000</v>
      </c>
      <c r="FJ55" s="3" t="s">
        <v>139</v>
      </c>
      <c r="FK55" s="2">
        <v>40</v>
      </c>
      <c r="FL55" s="2">
        <v>6000</v>
      </c>
      <c r="FM55" s="3">
        <f t="shared" si="33"/>
        <v>240000</v>
      </c>
      <c r="FN55" s="3" t="s">
        <v>139</v>
      </c>
      <c r="FO55" s="14"/>
      <c r="FP55" s="3">
        <v>6000</v>
      </c>
      <c r="FQ55" s="3">
        <f t="shared" si="55"/>
        <v>0</v>
      </c>
      <c r="FR55" s="3" t="s">
        <v>139</v>
      </c>
      <c r="FS55" s="13"/>
      <c r="FT55" s="15">
        <v>6000</v>
      </c>
      <c r="FU55" s="3">
        <f t="shared" si="34"/>
        <v>0</v>
      </c>
      <c r="FV55" s="3" t="s">
        <v>139</v>
      </c>
      <c r="FW55" s="14"/>
      <c r="FX55" s="3">
        <v>8000</v>
      </c>
      <c r="FY55" s="3">
        <f t="shared" si="35"/>
        <v>0</v>
      </c>
      <c r="FZ55" s="3" t="s">
        <v>139</v>
      </c>
      <c r="GA55" s="3">
        <v>2</v>
      </c>
      <c r="GB55" s="3">
        <v>8000</v>
      </c>
      <c r="GC55" s="3">
        <f t="shared" si="36"/>
        <v>16000</v>
      </c>
      <c r="GD55" s="3" t="s">
        <v>139</v>
      </c>
      <c r="GE55" s="3">
        <v>10</v>
      </c>
      <c r="GF55" s="3">
        <v>10000</v>
      </c>
      <c r="GG55" s="3">
        <f t="shared" si="37"/>
        <v>100000</v>
      </c>
      <c r="GH55" s="3" t="s">
        <v>139</v>
      </c>
      <c r="GI55" s="14"/>
      <c r="GJ55" s="14"/>
      <c r="GK55" s="3">
        <f t="shared" si="38"/>
        <v>0</v>
      </c>
      <c r="GL55" s="92">
        <f t="shared" si="39"/>
        <v>356000</v>
      </c>
      <c r="GM55" s="8">
        <f t="shared" si="40"/>
        <v>8586000</v>
      </c>
      <c r="GN55" s="8">
        <f t="shared" si="41"/>
        <v>10000</v>
      </c>
      <c r="GO55" s="102">
        <v>2000</v>
      </c>
      <c r="GP55" s="8">
        <f t="shared" si="56"/>
        <v>20000000</v>
      </c>
      <c r="GQ55" s="8">
        <f t="shared" si="42"/>
        <v>40000000</v>
      </c>
      <c r="GR55" s="8">
        <f t="shared" si="43"/>
        <v>11414000</v>
      </c>
      <c r="GS55" s="8">
        <f t="shared" si="44"/>
        <v>31414000</v>
      </c>
      <c r="GT55" s="15" t="s">
        <v>1788</v>
      </c>
      <c r="GU55" s="49" t="s">
        <v>926</v>
      </c>
    </row>
    <row r="56" spans="1:203" s="38" customFormat="1" ht="158.25" customHeight="1">
      <c r="A56" s="44">
        <v>57</v>
      </c>
      <c r="B56" s="33" t="s">
        <v>786</v>
      </c>
      <c r="C56" s="34" t="s">
        <v>853</v>
      </c>
      <c r="D56" s="34" t="s">
        <v>791</v>
      </c>
      <c r="E56" s="34" t="s">
        <v>860</v>
      </c>
      <c r="F56" s="35" t="s">
        <v>865</v>
      </c>
      <c r="G56" s="34" t="s">
        <v>947</v>
      </c>
      <c r="H56" s="34" t="s">
        <v>84</v>
      </c>
      <c r="I56" s="86" t="s">
        <v>948</v>
      </c>
      <c r="J56" s="34" t="s">
        <v>949</v>
      </c>
      <c r="K56" s="35" t="s">
        <v>950</v>
      </c>
      <c r="L56" s="35" t="s">
        <v>951</v>
      </c>
      <c r="M56" s="35" t="s">
        <v>892</v>
      </c>
      <c r="N56" s="34" t="s">
        <v>917</v>
      </c>
      <c r="O56" s="34" t="s">
        <v>893</v>
      </c>
      <c r="P56" s="34" t="s">
        <v>894</v>
      </c>
      <c r="Q56" s="39" t="s">
        <v>952</v>
      </c>
      <c r="R56" s="35">
        <v>2000</v>
      </c>
      <c r="S56" s="35">
        <v>2500</v>
      </c>
      <c r="T56" s="35">
        <v>1500</v>
      </c>
      <c r="U56" s="35">
        <v>90</v>
      </c>
      <c r="V56" s="35">
        <v>110</v>
      </c>
      <c r="W56" s="35" t="s">
        <v>896</v>
      </c>
      <c r="X56" s="35">
        <v>10</v>
      </c>
      <c r="Y56" s="40">
        <v>20</v>
      </c>
      <c r="Z56" s="34" t="s">
        <v>897</v>
      </c>
      <c r="AA56" s="34" t="s">
        <v>898</v>
      </c>
      <c r="AB56" s="35" t="s">
        <v>953</v>
      </c>
      <c r="AC56" s="3">
        <v>50000</v>
      </c>
      <c r="AD56" s="34">
        <v>10</v>
      </c>
      <c r="AE56" s="34"/>
      <c r="AF56" s="3">
        <v>80000</v>
      </c>
      <c r="AG56" s="3">
        <f t="shared" si="45"/>
        <v>500000</v>
      </c>
      <c r="AH56" s="34" t="s">
        <v>901</v>
      </c>
      <c r="AI56" s="34">
        <v>300</v>
      </c>
      <c r="AJ56" s="15">
        <v>1000</v>
      </c>
      <c r="AK56" s="36">
        <v>400</v>
      </c>
      <c r="AL56" s="15">
        <v>6000</v>
      </c>
      <c r="AM56" s="37">
        <v>50</v>
      </c>
      <c r="AN56" s="15">
        <v>3000</v>
      </c>
      <c r="AO56" s="37"/>
      <c r="AP56" s="15">
        <v>6000</v>
      </c>
      <c r="AQ56" s="2">
        <f t="shared" si="0"/>
        <v>2850000</v>
      </c>
      <c r="AR56" s="34" t="s">
        <v>946</v>
      </c>
      <c r="AS56" s="34" t="s">
        <v>945</v>
      </c>
      <c r="AT56" s="2" t="s">
        <v>139</v>
      </c>
      <c r="AU56" s="36"/>
      <c r="AV56" s="3">
        <v>6000</v>
      </c>
      <c r="AW56" s="2">
        <f t="shared" si="134"/>
        <v>0</v>
      </c>
      <c r="AX56" s="3" t="s">
        <v>139</v>
      </c>
      <c r="AY56" s="34"/>
      <c r="AZ56" s="3">
        <v>6000</v>
      </c>
      <c r="BA56" s="3">
        <f t="shared" si="2"/>
        <v>0</v>
      </c>
      <c r="BB56" s="3" t="s">
        <v>139</v>
      </c>
      <c r="BC56" s="34"/>
      <c r="BD56" s="3">
        <v>6000</v>
      </c>
      <c r="BE56" s="3">
        <f t="shared" si="3"/>
        <v>0</v>
      </c>
      <c r="BF56" s="3" t="s">
        <v>125</v>
      </c>
      <c r="BG56" s="14"/>
      <c r="BH56" s="3">
        <v>6000</v>
      </c>
      <c r="BI56" s="3">
        <f t="shared" si="147"/>
        <v>0</v>
      </c>
      <c r="BJ56" s="13" t="s">
        <v>20</v>
      </c>
      <c r="BK56" s="14"/>
      <c r="BL56" s="3">
        <v>1000</v>
      </c>
      <c r="BM56" s="3">
        <f t="shared" si="62"/>
        <v>0</v>
      </c>
      <c r="BN56" s="2" t="s">
        <v>126</v>
      </c>
      <c r="BO56" s="14"/>
      <c r="BP56" s="2">
        <v>3000</v>
      </c>
      <c r="BQ56" s="14">
        <f t="shared" si="148"/>
        <v>0</v>
      </c>
      <c r="BR56" s="2" t="s">
        <v>126</v>
      </c>
      <c r="BS56" s="14"/>
      <c r="BT56" s="2">
        <v>6000</v>
      </c>
      <c r="BU56" s="3">
        <f t="shared" si="135"/>
        <v>0</v>
      </c>
      <c r="BV56" s="2" t="s">
        <v>126</v>
      </c>
      <c r="BW56" s="2"/>
      <c r="BX56" s="2">
        <v>6000</v>
      </c>
      <c r="BY56" s="3">
        <f>BW56*BX56</f>
        <v>0</v>
      </c>
      <c r="BZ56" s="92">
        <f t="shared" si="146"/>
        <v>0</v>
      </c>
      <c r="CA56" s="2" t="s">
        <v>139</v>
      </c>
      <c r="CB56" s="3">
        <v>5</v>
      </c>
      <c r="CC56" s="3">
        <v>8000</v>
      </c>
      <c r="CD56" s="3">
        <f t="shared" si="10"/>
        <v>40000</v>
      </c>
      <c r="CE56" s="2" t="s">
        <v>139</v>
      </c>
      <c r="CF56" s="2">
        <v>30</v>
      </c>
      <c r="CG56" s="2">
        <v>6000</v>
      </c>
      <c r="CH56" s="3">
        <f t="shared" si="11"/>
        <v>180000</v>
      </c>
      <c r="CI56" s="3" t="s">
        <v>139</v>
      </c>
      <c r="CJ56" s="3">
        <v>1</v>
      </c>
      <c r="CK56" s="14"/>
      <c r="CL56" s="3">
        <f t="shared" si="12"/>
        <v>0</v>
      </c>
      <c r="CM56" s="5">
        <f t="shared" si="13"/>
        <v>220000</v>
      </c>
      <c r="CN56" s="3" t="s">
        <v>125</v>
      </c>
      <c r="CO56" s="3">
        <v>0</v>
      </c>
      <c r="CP56" s="3">
        <v>6000</v>
      </c>
      <c r="CQ56" s="3">
        <f t="shared" si="137"/>
        <v>0</v>
      </c>
      <c r="CR56" s="3" t="s">
        <v>125</v>
      </c>
      <c r="CS56" s="3">
        <v>75</v>
      </c>
      <c r="CT56" s="3">
        <v>6000</v>
      </c>
      <c r="CU56" s="3">
        <f t="shared" si="138"/>
        <v>450000</v>
      </c>
      <c r="CV56" s="3" t="s">
        <v>125</v>
      </c>
      <c r="CW56" s="3">
        <v>30</v>
      </c>
      <c r="CX56" s="3">
        <v>6000</v>
      </c>
      <c r="CY56" s="3">
        <f t="shared" si="139"/>
        <v>180000</v>
      </c>
      <c r="CZ56" s="3" t="s">
        <v>125</v>
      </c>
      <c r="DA56" s="3">
        <v>15</v>
      </c>
      <c r="DB56" s="3">
        <v>6000</v>
      </c>
      <c r="DC56" s="3">
        <f t="shared" si="140"/>
        <v>90000</v>
      </c>
      <c r="DD56" s="3" t="s">
        <v>125</v>
      </c>
      <c r="DE56" s="3">
        <v>5</v>
      </c>
      <c r="DF56" s="3">
        <v>6000</v>
      </c>
      <c r="DG56" s="3">
        <f t="shared" si="141"/>
        <v>30000</v>
      </c>
      <c r="DH56" s="3" t="s">
        <v>125</v>
      </c>
      <c r="DI56" s="3">
        <v>100</v>
      </c>
      <c r="DJ56" s="3">
        <v>6000</v>
      </c>
      <c r="DK56" s="3">
        <f t="shared" si="142"/>
        <v>600000</v>
      </c>
      <c r="DL56" s="3" t="s">
        <v>125</v>
      </c>
      <c r="DM56" s="3"/>
      <c r="DN56" s="3">
        <v>6000</v>
      </c>
      <c r="DO56" s="3">
        <f t="shared" si="143"/>
        <v>0</v>
      </c>
      <c r="DP56" s="3" t="s">
        <v>125</v>
      </c>
      <c r="DQ56" s="3"/>
      <c r="DR56" s="3">
        <v>6000</v>
      </c>
      <c r="DS56" s="3">
        <f t="shared" si="144"/>
        <v>0</v>
      </c>
      <c r="DT56" s="6">
        <f t="shared" si="145"/>
        <v>1350000</v>
      </c>
      <c r="DU56" s="2" t="s">
        <v>157</v>
      </c>
      <c r="DV56" s="3">
        <f t="shared" si="46"/>
        <v>2000</v>
      </c>
      <c r="DW56" s="3">
        <f t="shared" si="47"/>
        <v>1500</v>
      </c>
      <c r="DX56" s="3">
        <f t="shared" si="23"/>
        <v>3000000</v>
      </c>
      <c r="DY56" s="3" t="s">
        <v>127</v>
      </c>
      <c r="DZ56" s="3">
        <f t="shared" si="48"/>
        <v>10</v>
      </c>
      <c r="EA56" s="2">
        <v>50000</v>
      </c>
      <c r="EB56" s="3">
        <f t="shared" si="24"/>
        <v>500000</v>
      </c>
      <c r="EC56" s="2" t="s">
        <v>127</v>
      </c>
      <c r="ED56" s="3">
        <f t="shared" si="49"/>
        <v>0</v>
      </c>
      <c r="EE56" s="3">
        <v>80000</v>
      </c>
      <c r="EF56" s="3">
        <f t="shared" si="25"/>
        <v>0</v>
      </c>
      <c r="EG56" s="2" t="s">
        <v>157</v>
      </c>
      <c r="EH56" s="3">
        <f t="shared" si="50"/>
        <v>400</v>
      </c>
      <c r="EI56" s="3">
        <v>6000</v>
      </c>
      <c r="EJ56" s="7">
        <f t="shared" si="124"/>
        <v>2400000</v>
      </c>
      <c r="EK56" s="2" t="s">
        <v>157</v>
      </c>
      <c r="EL56" s="13">
        <f t="shared" si="149"/>
        <v>50</v>
      </c>
      <c r="EM56" s="3">
        <v>3000</v>
      </c>
      <c r="EN56" s="3">
        <f t="shared" si="27"/>
        <v>150000</v>
      </c>
      <c r="EO56" s="3" t="s">
        <v>126</v>
      </c>
      <c r="EP56" s="3">
        <f t="shared" si="52"/>
        <v>300</v>
      </c>
      <c r="EQ56" s="3">
        <v>1000</v>
      </c>
      <c r="ER56" s="7">
        <f t="shared" si="53"/>
        <v>300000</v>
      </c>
      <c r="ES56" s="3" t="s">
        <v>124</v>
      </c>
      <c r="ET56" s="2">
        <v>1</v>
      </c>
      <c r="EU56" s="3">
        <v>60000</v>
      </c>
      <c r="EV56" s="3">
        <f t="shared" si="28"/>
        <v>60000</v>
      </c>
      <c r="EW56" s="3" t="s">
        <v>124</v>
      </c>
      <c r="EX56" s="14"/>
      <c r="EY56" s="3">
        <v>60000</v>
      </c>
      <c r="EZ56" s="3">
        <f t="shared" si="29"/>
        <v>0</v>
      </c>
      <c r="FA56" s="3" t="s">
        <v>170</v>
      </c>
      <c r="FB56" s="14"/>
      <c r="FC56" s="3">
        <v>1000</v>
      </c>
      <c r="FD56" s="3">
        <f t="shared" si="30"/>
        <v>0</v>
      </c>
      <c r="FE56" s="3" t="s">
        <v>126</v>
      </c>
      <c r="FF56" s="3">
        <f t="shared" si="54"/>
        <v>0</v>
      </c>
      <c r="FG56" s="3">
        <v>6000</v>
      </c>
      <c r="FH56" s="3">
        <f t="shared" si="31"/>
        <v>0</v>
      </c>
      <c r="FI56" s="1">
        <f t="shared" si="32"/>
        <v>6410000</v>
      </c>
      <c r="FJ56" s="3" t="s">
        <v>139</v>
      </c>
      <c r="FK56" s="2">
        <v>40</v>
      </c>
      <c r="FL56" s="2">
        <v>6000</v>
      </c>
      <c r="FM56" s="3">
        <f t="shared" si="33"/>
        <v>240000</v>
      </c>
      <c r="FN56" s="3" t="s">
        <v>139</v>
      </c>
      <c r="FO56" s="14"/>
      <c r="FP56" s="3">
        <v>6000</v>
      </c>
      <c r="FQ56" s="3">
        <f t="shared" si="55"/>
        <v>0</v>
      </c>
      <c r="FR56" s="3" t="s">
        <v>139</v>
      </c>
      <c r="FS56" s="13"/>
      <c r="FT56" s="15">
        <v>6000</v>
      </c>
      <c r="FU56" s="3">
        <f t="shared" si="34"/>
        <v>0</v>
      </c>
      <c r="FV56" s="3" t="s">
        <v>139</v>
      </c>
      <c r="FW56" s="14"/>
      <c r="FX56" s="3">
        <v>8000</v>
      </c>
      <c r="FY56" s="3">
        <f t="shared" si="35"/>
        <v>0</v>
      </c>
      <c r="FZ56" s="3" t="s">
        <v>139</v>
      </c>
      <c r="GA56" s="3">
        <v>2</v>
      </c>
      <c r="GB56" s="3">
        <v>8000</v>
      </c>
      <c r="GC56" s="3">
        <f t="shared" si="36"/>
        <v>16000</v>
      </c>
      <c r="GD56" s="3" t="s">
        <v>139</v>
      </c>
      <c r="GE56" s="3">
        <v>10</v>
      </c>
      <c r="GF56" s="3">
        <v>10000</v>
      </c>
      <c r="GG56" s="3">
        <f t="shared" si="37"/>
        <v>100000</v>
      </c>
      <c r="GH56" s="3" t="s">
        <v>139</v>
      </c>
      <c r="GI56" s="14"/>
      <c r="GJ56" s="14"/>
      <c r="GK56" s="3">
        <f t="shared" si="38"/>
        <v>0</v>
      </c>
      <c r="GL56" s="92">
        <f t="shared" si="39"/>
        <v>356000</v>
      </c>
      <c r="GM56" s="8">
        <f t="shared" si="40"/>
        <v>8336000</v>
      </c>
      <c r="GN56" s="8">
        <f t="shared" si="41"/>
        <v>10000</v>
      </c>
      <c r="GO56" s="102">
        <v>2000</v>
      </c>
      <c r="GP56" s="8">
        <f t="shared" si="56"/>
        <v>20000000</v>
      </c>
      <c r="GQ56" s="8">
        <f t="shared" si="42"/>
        <v>40000000</v>
      </c>
      <c r="GR56" s="8">
        <f t="shared" si="43"/>
        <v>11664000</v>
      </c>
      <c r="GS56" s="8">
        <f t="shared" si="44"/>
        <v>31664000</v>
      </c>
      <c r="GT56" s="15" t="s">
        <v>1717</v>
      </c>
      <c r="GU56" s="49" t="s">
        <v>954</v>
      </c>
    </row>
    <row r="57" spans="1:203" s="38" customFormat="1" ht="158.25" customHeight="1">
      <c r="A57" s="44">
        <v>58</v>
      </c>
      <c r="B57" s="33" t="s">
        <v>786</v>
      </c>
      <c r="C57" s="34" t="s">
        <v>853</v>
      </c>
      <c r="D57" s="34" t="s">
        <v>792</v>
      </c>
      <c r="E57" s="34" t="s">
        <v>861</v>
      </c>
      <c r="F57" s="35" t="s">
        <v>866</v>
      </c>
      <c r="G57" s="34" t="s">
        <v>939</v>
      </c>
      <c r="H57" s="34" t="s">
        <v>84</v>
      </c>
      <c r="I57" s="34" t="s">
        <v>940</v>
      </c>
      <c r="J57" s="34" t="s">
        <v>889</v>
      </c>
      <c r="K57" s="35" t="s">
        <v>941</v>
      </c>
      <c r="L57" s="35" t="s">
        <v>942</v>
      </c>
      <c r="M57" s="35" t="s">
        <v>892</v>
      </c>
      <c r="N57" s="34" t="s">
        <v>917</v>
      </c>
      <c r="O57" s="34" t="s">
        <v>893</v>
      </c>
      <c r="P57" s="34" t="s">
        <v>894</v>
      </c>
      <c r="Q57" s="39" t="s">
        <v>943</v>
      </c>
      <c r="R57" s="35">
        <v>2000</v>
      </c>
      <c r="S57" s="35">
        <v>2500</v>
      </c>
      <c r="T57" s="35">
        <v>1500</v>
      </c>
      <c r="U57" s="35">
        <v>85</v>
      </c>
      <c r="V57" s="35">
        <v>100</v>
      </c>
      <c r="W57" s="35" t="s">
        <v>896</v>
      </c>
      <c r="X57" s="35">
        <v>10</v>
      </c>
      <c r="Y57" s="40">
        <v>20</v>
      </c>
      <c r="Z57" s="34" t="s">
        <v>897</v>
      </c>
      <c r="AA57" s="34" t="s">
        <v>898</v>
      </c>
      <c r="AB57" s="35" t="s">
        <v>944</v>
      </c>
      <c r="AC57" s="3">
        <v>50000</v>
      </c>
      <c r="AD57" s="34">
        <v>10</v>
      </c>
      <c r="AE57" s="34"/>
      <c r="AF57" s="3">
        <v>80000</v>
      </c>
      <c r="AG57" s="3">
        <f t="shared" si="45"/>
        <v>500000</v>
      </c>
      <c r="AH57" s="34" t="s">
        <v>925</v>
      </c>
      <c r="AI57" s="34">
        <v>300</v>
      </c>
      <c r="AJ57" s="15">
        <v>1000</v>
      </c>
      <c r="AK57" s="36">
        <v>400</v>
      </c>
      <c r="AL57" s="15">
        <v>6000</v>
      </c>
      <c r="AM57" s="37">
        <v>50</v>
      </c>
      <c r="AN57" s="15">
        <v>3000</v>
      </c>
      <c r="AO57" s="37"/>
      <c r="AP57" s="15">
        <v>6000</v>
      </c>
      <c r="AQ57" s="2">
        <f t="shared" si="0"/>
        <v>2850000</v>
      </c>
      <c r="AR57" s="34" t="s">
        <v>946</v>
      </c>
      <c r="AS57" s="34" t="s">
        <v>945</v>
      </c>
      <c r="AT57" s="2" t="s">
        <v>139</v>
      </c>
      <c r="AU57" s="36"/>
      <c r="AV57" s="3">
        <v>6000</v>
      </c>
      <c r="AW57" s="2">
        <f t="shared" si="134"/>
        <v>0</v>
      </c>
      <c r="AX57" s="3" t="s">
        <v>139</v>
      </c>
      <c r="AY57" s="34"/>
      <c r="AZ57" s="3">
        <v>6000</v>
      </c>
      <c r="BA57" s="3">
        <f t="shared" si="2"/>
        <v>0</v>
      </c>
      <c r="BB57" s="3" t="s">
        <v>139</v>
      </c>
      <c r="BC57" s="34"/>
      <c r="BD57" s="3">
        <v>6000</v>
      </c>
      <c r="BE57" s="3">
        <f t="shared" si="3"/>
        <v>0</v>
      </c>
      <c r="BF57" s="3" t="s">
        <v>125</v>
      </c>
      <c r="BG57" s="14"/>
      <c r="BH57" s="3">
        <v>6000</v>
      </c>
      <c r="BI57" s="3">
        <f t="shared" si="147"/>
        <v>0</v>
      </c>
      <c r="BJ57" s="13" t="s">
        <v>20</v>
      </c>
      <c r="BK57" s="14"/>
      <c r="BL57" s="3">
        <v>1000</v>
      </c>
      <c r="BM57" s="3">
        <f t="shared" si="62"/>
        <v>0</v>
      </c>
      <c r="BN57" s="2" t="s">
        <v>126</v>
      </c>
      <c r="BO57" s="14"/>
      <c r="BP57" s="2">
        <v>3000</v>
      </c>
      <c r="BQ57" s="14">
        <f t="shared" si="148"/>
        <v>0</v>
      </c>
      <c r="BR57" s="2" t="s">
        <v>126</v>
      </c>
      <c r="BS57" s="14"/>
      <c r="BT57" s="2">
        <v>6000</v>
      </c>
      <c r="BU57" s="3">
        <f t="shared" si="135"/>
        <v>0</v>
      </c>
      <c r="BV57" s="2" t="s">
        <v>126</v>
      </c>
      <c r="BW57" s="2"/>
      <c r="BX57" s="2">
        <v>6000</v>
      </c>
      <c r="BY57" s="3">
        <f t="shared" si="136"/>
        <v>0</v>
      </c>
      <c r="BZ57" s="92">
        <f t="shared" si="146"/>
        <v>0</v>
      </c>
      <c r="CA57" s="2" t="s">
        <v>139</v>
      </c>
      <c r="CB57" s="3">
        <v>5</v>
      </c>
      <c r="CC57" s="3">
        <v>8000</v>
      </c>
      <c r="CD57" s="3">
        <f t="shared" si="10"/>
        <v>40000</v>
      </c>
      <c r="CE57" s="2" t="s">
        <v>139</v>
      </c>
      <c r="CF57" s="2">
        <v>30</v>
      </c>
      <c r="CG57" s="2">
        <v>6000</v>
      </c>
      <c r="CH57" s="3">
        <f t="shared" si="11"/>
        <v>180000</v>
      </c>
      <c r="CI57" s="3" t="s">
        <v>139</v>
      </c>
      <c r="CJ57" s="3">
        <v>1</v>
      </c>
      <c r="CK57" s="14"/>
      <c r="CL57" s="3">
        <f t="shared" si="12"/>
        <v>0</v>
      </c>
      <c r="CM57" s="5">
        <f t="shared" si="13"/>
        <v>220000</v>
      </c>
      <c r="CN57" s="3" t="s">
        <v>125</v>
      </c>
      <c r="CO57" s="3">
        <v>0</v>
      </c>
      <c r="CP57" s="3">
        <v>6000</v>
      </c>
      <c r="CQ57" s="3">
        <f t="shared" si="137"/>
        <v>0</v>
      </c>
      <c r="CR57" s="3" t="s">
        <v>125</v>
      </c>
      <c r="CS57" s="3">
        <v>75</v>
      </c>
      <c r="CT57" s="3">
        <v>6000</v>
      </c>
      <c r="CU57" s="3">
        <f t="shared" si="138"/>
        <v>450000</v>
      </c>
      <c r="CV57" s="3" t="s">
        <v>125</v>
      </c>
      <c r="CW57" s="3">
        <v>30</v>
      </c>
      <c r="CX57" s="3">
        <v>6000</v>
      </c>
      <c r="CY57" s="3">
        <f t="shared" si="139"/>
        <v>180000</v>
      </c>
      <c r="CZ57" s="3" t="s">
        <v>125</v>
      </c>
      <c r="DA57" s="3">
        <v>15</v>
      </c>
      <c r="DB57" s="3">
        <v>6000</v>
      </c>
      <c r="DC57" s="3">
        <f t="shared" si="140"/>
        <v>90000</v>
      </c>
      <c r="DD57" s="3" t="s">
        <v>125</v>
      </c>
      <c r="DE57" s="3">
        <v>5</v>
      </c>
      <c r="DF57" s="3">
        <v>6000</v>
      </c>
      <c r="DG57" s="3">
        <f t="shared" si="141"/>
        <v>30000</v>
      </c>
      <c r="DH57" s="3" t="s">
        <v>125</v>
      </c>
      <c r="DI57" s="3">
        <v>100</v>
      </c>
      <c r="DJ57" s="3">
        <v>6000</v>
      </c>
      <c r="DK57" s="3">
        <f t="shared" si="142"/>
        <v>600000</v>
      </c>
      <c r="DL57" s="3" t="s">
        <v>125</v>
      </c>
      <c r="DM57" s="3"/>
      <c r="DN57" s="3">
        <v>6000</v>
      </c>
      <c r="DO57" s="3">
        <f t="shared" si="143"/>
        <v>0</v>
      </c>
      <c r="DP57" s="3" t="s">
        <v>125</v>
      </c>
      <c r="DQ57" s="3"/>
      <c r="DR57" s="3">
        <v>6000</v>
      </c>
      <c r="DS57" s="3">
        <f t="shared" si="144"/>
        <v>0</v>
      </c>
      <c r="DT57" s="6">
        <f t="shared" si="145"/>
        <v>1350000</v>
      </c>
      <c r="DU57" s="2" t="s">
        <v>157</v>
      </c>
      <c r="DV57" s="3">
        <f t="shared" si="46"/>
        <v>2000</v>
      </c>
      <c r="DW57" s="3">
        <f t="shared" si="47"/>
        <v>1500</v>
      </c>
      <c r="DX57" s="3">
        <f t="shared" si="23"/>
        <v>3000000</v>
      </c>
      <c r="DY57" s="3" t="s">
        <v>127</v>
      </c>
      <c r="DZ57" s="3">
        <f t="shared" si="48"/>
        <v>10</v>
      </c>
      <c r="EA57" s="2">
        <v>50000</v>
      </c>
      <c r="EB57" s="3">
        <f t="shared" si="24"/>
        <v>500000</v>
      </c>
      <c r="EC57" s="2" t="s">
        <v>127</v>
      </c>
      <c r="ED57" s="3">
        <f t="shared" si="49"/>
        <v>0</v>
      </c>
      <c r="EE57" s="3">
        <v>80000</v>
      </c>
      <c r="EF57" s="3">
        <f t="shared" si="25"/>
        <v>0</v>
      </c>
      <c r="EG57" s="2" t="s">
        <v>157</v>
      </c>
      <c r="EH57" s="3">
        <f t="shared" si="50"/>
        <v>400</v>
      </c>
      <c r="EI57" s="3">
        <v>6000</v>
      </c>
      <c r="EJ57" s="7">
        <f t="shared" si="124"/>
        <v>2400000</v>
      </c>
      <c r="EK57" s="2" t="s">
        <v>157</v>
      </c>
      <c r="EL57" s="13">
        <f t="shared" si="149"/>
        <v>50</v>
      </c>
      <c r="EM57" s="3">
        <v>3000</v>
      </c>
      <c r="EN57" s="3">
        <f t="shared" si="27"/>
        <v>150000</v>
      </c>
      <c r="EO57" s="3" t="s">
        <v>126</v>
      </c>
      <c r="EP57" s="3">
        <f t="shared" si="52"/>
        <v>300</v>
      </c>
      <c r="EQ57" s="3">
        <v>1000</v>
      </c>
      <c r="ER57" s="7">
        <f t="shared" si="53"/>
        <v>300000</v>
      </c>
      <c r="ES57" s="3" t="s">
        <v>124</v>
      </c>
      <c r="ET57" s="2">
        <v>1</v>
      </c>
      <c r="EU57" s="3">
        <v>60000</v>
      </c>
      <c r="EV57" s="3">
        <f t="shared" si="28"/>
        <v>60000</v>
      </c>
      <c r="EW57" s="3" t="s">
        <v>124</v>
      </c>
      <c r="EX57" s="14"/>
      <c r="EY57" s="3">
        <v>60000</v>
      </c>
      <c r="EZ57" s="3">
        <f t="shared" si="29"/>
        <v>0</v>
      </c>
      <c r="FA57" s="3" t="s">
        <v>170</v>
      </c>
      <c r="FB57" s="14"/>
      <c r="FC57" s="3">
        <v>1000</v>
      </c>
      <c r="FD57" s="3">
        <f t="shared" si="30"/>
        <v>0</v>
      </c>
      <c r="FE57" s="3" t="s">
        <v>126</v>
      </c>
      <c r="FF57" s="3">
        <f t="shared" si="54"/>
        <v>0</v>
      </c>
      <c r="FG57" s="3">
        <v>6000</v>
      </c>
      <c r="FH57" s="3">
        <f t="shared" si="31"/>
        <v>0</v>
      </c>
      <c r="FI57" s="1">
        <f t="shared" si="32"/>
        <v>6410000</v>
      </c>
      <c r="FJ57" s="3" t="s">
        <v>139</v>
      </c>
      <c r="FK57" s="2">
        <v>40</v>
      </c>
      <c r="FL57" s="2">
        <v>6000</v>
      </c>
      <c r="FM57" s="3">
        <f t="shared" si="33"/>
        <v>240000</v>
      </c>
      <c r="FN57" s="3" t="s">
        <v>139</v>
      </c>
      <c r="FO57" s="14"/>
      <c r="FP57" s="3">
        <v>6000</v>
      </c>
      <c r="FQ57" s="3">
        <f t="shared" si="55"/>
        <v>0</v>
      </c>
      <c r="FR57" s="3" t="s">
        <v>139</v>
      </c>
      <c r="FS57" s="13"/>
      <c r="FT57" s="15">
        <v>6000</v>
      </c>
      <c r="FU57" s="3">
        <f t="shared" si="34"/>
        <v>0</v>
      </c>
      <c r="FV57" s="3" t="s">
        <v>139</v>
      </c>
      <c r="FW57" s="14"/>
      <c r="FX57" s="3">
        <v>8000</v>
      </c>
      <c r="FY57" s="3">
        <f t="shared" si="35"/>
        <v>0</v>
      </c>
      <c r="FZ57" s="3" t="s">
        <v>139</v>
      </c>
      <c r="GA57" s="3">
        <v>2</v>
      </c>
      <c r="GB57" s="3">
        <v>8000</v>
      </c>
      <c r="GC57" s="3">
        <f t="shared" si="36"/>
        <v>16000</v>
      </c>
      <c r="GD57" s="3" t="s">
        <v>139</v>
      </c>
      <c r="GE57" s="3">
        <v>10</v>
      </c>
      <c r="GF57" s="3">
        <v>10000</v>
      </c>
      <c r="GG57" s="3">
        <f t="shared" si="37"/>
        <v>100000</v>
      </c>
      <c r="GH57" s="3" t="s">
        <v>139</v>
      </c>
      <c r="GI57" s="14"/>
      <c r="GJ57" s="14"/>
      <c r="GK57" s="3">
        <f t="shared" si="38"/>
        <v>0</v>
      </c>
      <c r="GL57" s="92">
        <f t="shared" si="39"/>
        <v>356000</v>
      </c>
      <c r="GM57" s="8">
        <f t="shared" si="40"/>
        <v>8336000</v>
      </c>
      <c r="GN57" s="8">
        <f t="shared" si="41"/>
        <v>10000</v>
      </c>
      <c r="GO57" s="102">
        <v>2000</v>
      </c>
      <c r="GP57" s="8">
        <f t="shared" si="56"/>
        <v>20000000</v>
      </c>
      <c r="GQ57" s="8">
        <f t="shared" si="42"/>
        <v>40000000</v>
      </c>
      <c r="GR57" s="8">
        <f t="shared" si="43"/>
        <v>11664000</v>
      </c>
      <c r="GS57" s="8">
        <f t="shared" si="44"/>
        <v>31664000</v>
      </c>
      <c r="GT57" s="15" t="s">
        <v>1790</v>
      </c>
      <c r="GU57" s="47" t="s">
        <v>1789</v>
      </c>
    </row>
    <row r="58" spans="1:203" s="26" customFormat="1" ht="158.25" customHeight="1">
      <c r="A58" s="44">
        <v>59</v>
      </c>
      <c r="B58" s="23" t="s">
        <v>793</v>
      </c>
      <c r="C58" s="13" t="s">
        <v>794</v>
      </c>
      <c r="D58" s="13" t="s">
        <v>927</v>
      </c>
      <c r="E58" s="13" t="s">
        <v>928</v>
      </c>
      <c r="F58" s="13" t="s">
        <v>928</v>
      </c>
      <c r="G58" s="15" t="s">
        <v>929</v>
      </c>
      <c r="H58" s="34" t="s">
        <v>84</v>
      </c>
      <c r="I58" s="15" t="s">
        <v>930</v>
      </c>
      <c r="J58" s="15" t="s">
        <v>931</v>
      </c>
      <c r="K58" s="14" t="s">
        <v>796</v>
      </c>
      <c r="L58" s="15" t="s">
        <v>956</v>
      </c>
      <c r="M58" s="14" t="s">
        <v>955</v>
      </c>
      <c r="N58" s="15" t="s">
        <v>957</v>
      </c>
      <c r="O58" s="15" t="s">
        <v>958</v>
      </c>
      <c r="P58" s="13" t="s">
        <v>959</v>
      </c>
      <c r="Q58" s="13" t="s">
        <v>811</v>
      </c>
      <c r="R58" s="15">
        <v>15</v>
      </c>
      <c r="S58" s="15">
        <v>25</v>
      </c>
      <c r="T58" s="15">
        <v>3000</v>
      </c>
      <c r="U58" s="15">
        <v>60</v>
      </c>
      <c r="V58" s="15">
        <v>90</v>
      </c>
      <c r="W58" s="35" t="s">
        <v>960</v>
      </c>
      <c r="X58" s="15">
        <v>0.5</v>
      </c>
      <c r="Y58" s="19">
        <v>2</v>
      </c>
      <c r="Z58" s="3" t="s">
        <v>962</v>
      </c>
      <c r="AA58" s="15" t="s">
        <v>961</v>
      </c>
      <c r="AB58" s="15" t="s">
        <v>963</v>
      </c>
      <c r="AC58" s="3">
        <v>50000</v>
      </c>
      <c r="AD58" s="3"/>
      <c r="AE58" s="13">
        <v>5</v>
      </c>
      <c r="AF58" s="3">
        <v>80000</v>
      </c>
      <c r="AG58" s="3">
        <f t="shared" si="45"/>
        <v>400000</v>
      </c>
      <c r="AH58" s="19" t="s">
        <v>964</v>
      </c>
      <c r="AI58" s="15">
        <v>0</v>
      </c>
      <c r="AJ58" s="15">
        <v>1000</v>
      </c>
      <c r="AK58" s="15">
        <v>100</v>
      </c>
      <c r="AL58" s="15">
        <v>6000</v>
      </c>
      <c r="AM58" s="15"/>
      <c r="AN58" s="15">
        <v>3000</v>
      </c>
      <c r="AO58" s="42">
        <v>50</v>
      </c>
      <c r="AP58" s="15">
        <v>6000</v>
      </c>
      <c r="AQ58" s="2">
        <f t="shared" si="0"/>
        <v>900000</v>
      </c>
      <c r="AR58" s="15" t="s">
        <v>965</v>
      </c>
      <c r="AS58" s="3" t="s">
        <v>966</v>
      </c>
      <c r="AT58" s="2" t="s">
        <v>139</v>
      </c>
      <c r="AU58" s="36"/>
      <c r="AV58" s="3">
        <v>6000</v>
      </c>
      <c r="AW58" s="2">
        <f t="shared" si="134"/>
        <v>0</v>
      </c>
      <c r="AX58" s="3" t="s">
        <v>139</v>
      </c>
      <c r="AY58" s="3"/>
      <c r="AZ58" s="3">
        <v>6000</v>
      </c>
      <c r="BA58" s="3">
        <f t="shared" si="2"/>
        <v>0</v>
      </c>
      <c r="BB58" s="3" t="s">
        <v>139</v>
      </c>
      <c r="BC58" s="34"/>
      <c r="BD58" s="3">
        <v>6000</v>
      </c>
      <c r="BE58" s="3">
        <f t="shared" si="3"/>
        <v>0</v>
      </c>
      <c r="BF58" s="3" t="s">
        <v>125</v>
      </c>
      <c r="BG58" s="3"/>
      <c r="BH58" s="3">
        <v>6000</v>
      </c>
      <c r="BI58" s="3">
        <f t="shared" si="147"/>
        <v>0</v>
      </c>
      <c r="BJ58" s="13" t="s">
        <v>20</v>
      </c>
      <c r="BK58" s="14"/>
      <c r="BL58" s="3">
        <v>1000</v>
      </c>
      <c r="BM58" s="3">
        <f t="shared" si="62"/>
        <v>0</v>
      </c>
      <c r="BN58" s="2" t="s">
        <v>126</v>
      </c>
      <c r="BO58" s="2" t="s">
        <v>834</v>
      </c>
      <c r="BP58" s="2">
        <v>3000</v>
      </c>
      <c r="BQ58" s="14">
        <v>0</v>
      </c>
      <c r="BR58" s="2" t="s">
        <v>126</v>
      </c>
      <c r="BS58" s="2"/>
      <c r="BT58" s="2">
        <v>6000</v>
      </c>
      <c r="BU58" s="3">
        <v>0</v>
      </c>
      <c r="BV58" s="2" t="s">
        <v>126</v>
      </c>
      <c r="BW58" s="2"/>
      <c r="BX58" s="2">
        <v>6000</v>
      </c>
      <c r="BY58" s="3">
        <f t="shared" si="136"/>
        <v>0</v>
      </c>
      <c r="BZ58" s="92">
        <f t="shared" si="146"/>
        <v>0</v>
      </c>
      <c r="CA58" s="2" t="s">
        <v>139</v>
      </c>
      <c r="CB58" s="3">
        <v>5</v>
      </c>
      <c r="CC58" s="3">
        <v>8000</v>
      </c>
      <c r="CD58" s="3">
        <f t="shared" si="10"/>
        <v>40000</v>
      </c>
      <c r="CE58" s="2" t="s">
        <v>139</v>
      </c>
      <c r="CF58" s="2">
        <v>30</v>
      </c>
      <c r="CG58" s="2">
        <v>6000</v>
      </c>
      <c r="CH58" s="3">
        <f t="shared" si="11"/>
        <v>180000</v>
      </c>
      <c r="CI58" s="3" t="s">
        <v>139</v>
      </c>
      <c r="CJ58" s="3">
        <v>1</v>
      </c>
      <c r="CK58" s="2"/>
      <c r="CL58" s="3">
        <f t="shared" si="12"/>
        <v>0</v>
      </c>
      <c r="CM58" s="5">
        <f t="shared" si="13"/>
        <v>220000</v>
      </c>
      <c r="CN58" s="3" t="s">
        <v>125</v>
      </c>
      <c r="CO58" s="3">
        <v>0</v>
      </c>
      <c r="CP58" s="3">
        <v>6000</v>
      </c>
      <c r="CQ58" s="3">
        <f t="shared" si="137"/>
        <v>0</v>
      </c>
      <c r="CR58" s="3" t="s">
        <v>125</v>
      </c>
      <c r="CS58" s="3">
        <v>75</v>
      </c>
      <c r="CT58" s="3">
        <v>6000</v>
      </c>
      <c r="CU58" s="3">
        <f t="shared" si="138"/>
        <v>450000</v>
      </c>
      <c r="CV58" s="3" t="s">
        <v>125</v>
      </c>
      <c r="CW58" s="3">
        <v>30</v>
      </c>
      <c r="CX58" s="3">
        <v>6000</v>
      </c>
      <c r="CY58" s="3">
        <f t="shared" si="139"/>
        <v>180000</v>
      </c>
      <c r="CZ58" s="3" t="s">
        <v>125</v>
      </c>
      <c r="DA58" s="3">
        <v>15</v>
      </c>
      <c r="DB58" s="3">
        <v>6000</v>
      </c>
      <c r="DC58" s="3">
        <f t="shared" si="140"/>
        <v>90000</v>
      </c>
      <c r="DD58" s="3" t="s">
        <v>125</v>
      </c>
      <c r="DE58" s="3">
        <v>5</v>
      </c>
      <c r="DF58" s="3">
        <v>6000</v>
      </c>
      <c r="DG58" s="3">
        <f t="shared" si="141"/>
        <v>30000</v>
      </c>
      <c r="DH58" s="3" t="s">
        <v>125</v>
      </c>
      <c r="DI58" s="3">
        <v>100</v>
      </c>
      <c r="DJ58" s="3">
        <v>6000</v>
      </c>
      <c r="DK58" s="3">
        <f t="shared" si="142"/>
        <v>600000</v>
      </c>
      <c r="DL58" s="3" t="s">
        <v>125</v>
      </c>
      <c r="DM58" s="3"/>
      <c r="DN58" s="3">
        <v>6000</v>
      </c>
      <c r="DO58" s="3">
        <f t="shared" si="143"/>
        <v>0</v>
      </c>
      <c r="DP58" s="3" t="s">
        <v>125</v>
      </c>
      <c r="DQ58" s="3"/>
      <c r="DR58" s="3">
        <v>6000</v>
      </c>
      <c r="DS58" s="3">
        <f t="shared" si="144"/>
        <v>0</v>
      </c>
      <c r="DT58" s="6">
        <f t="shared" si="145"/>
        <v>1350000</v>
      </c>
      <c r="DU58" s="2" t="s">
        <v>157</v>
      </c>
      <c r="DV58" s="3">
        <f t="shared" si="46"/>
        <v>15</v>
      </c>
      <c r="DW58" s="3">
        <f t="shared" si="47"/>
        <v>3000</v>
      </c>
      <c r="DX58" s="3">
        <f t="shared" si="23"/>
        <v>45000</v>
      </c>
      <c r="DY58" s="3" t="s">
        <v>127</v>
      </c>
      <c r="DZ58" s="3">
        <f t="shared" si="48"/>
        <v>0</v>
      </c>
      <c r="EA58" s="2">
        <v>50000</v>
      </c>
      <c r="EB58" s="3">
        <f t="shared" si="24"/>
        <v>0</v>
      </c>
      <c r="EC58" s="2" t="s">
        <v>127</v>
      </c>
      <c r="ED58" s="3">
        <f t="shared" si="49"/>
        <v>5</v>
      </c>
      <c r="EE58" s="3">
        <v>80000</v>
      </c>
      <c r="EF58" s="3">
        <f t="shared" si="25"/>
        <v>400000</v>
      </c>
      <c r="EG58" s="2" t="s">
        <v>157</v>
      </c>
      <c r="EH58" s="3">
        <f t="shared" si="50"/>
        <v>100</v>
      </c>
      <c r="EI58" s="3">
        <v>6000</v>
      </c>
      <c r="EJ58" s="7">
        <f t="shared" si="124"/>
        <v>600000</v>
      </c>
      <c r="EK58" s="2" t="s">
        <v>157</v>
      </c>
      <c r="EL58" s="13">
        <f t="shared" si="149"/>
        <v>0</v>
      </c>
      <c r="EM58" s="3">
        <v>3000</v>
      </c>
      <c r="EN58" s="3">
        <f t="shared" si="27"/>
        <v>0</v>
      </c>
      <c r="EO58" s="3" t="s">
        <v>126</v>
      </c>
      <c r="EP58" s="3">
        <f t="shared" si="52"/>
        <v>0</v>
      </c>
      <c r="EQ58" s="3">
        <v>1000</v>
      </c>
      <c r="ER58" s="7">
        <f t="shared" si="53"/>
        <v>0</v>
      </c>
      <c r="ES58" s="3" t="s">
        <v>124</v>
      </c>
      <c r="ET58" s="2">
        <v>1</v>
      </c>
      <c r="EU58" s="3">
        <v>60000</v>
      </c>
      <c r="EV58" s="3">
        <f t="shared" si="28"/>
        <v>60000</v>
      </c>
      <c r="EW58" s="3" t="s">
        <v>124</v>
      </c>
      <c r="EX58" s="2"/>
      <c r="EY58" s="3">
        <v>60000</v>
      </c>
      <c r="EZ58" s="3">
        <f t="shared" si="29"/>
        <v>0</v>
      </c>
      <c r="FA58" s="3" t="s">
        <v>170</v>
      </c>
      <c r="FB58" s="14"/>
      <c r="FC58" s="3">
        <v>1000</v>
      </c>
      <c r="FD58" s="3">
        <f t="shared" si="30"/>
        <v>0</v>
      </c>
      <c r="FE58" s="3" t="s">
        <v>126</v>
      </c>
      <c r="FF58" s="3">
        <f t="shared" si="54"/>
        <v>50</v>
      </c>
      <c r="FG58" s="3">
        <v>6000</v>
      </c>
      <c r="FH58" s="3">
        <f t="shared" si="31"/>
        <v>300000</v>
      </c>
      <c r="FI58" s="1">
        <f t="shared" si="32"/>
        <v>1405000</v>
      </c>
      <c r="FJ58" s="3" t="s">
        <v>139</v>
      </c>
      <c r="FK58" s="2">
        <v>40</v>
      </c>
      <c r="FL58" s="2">
        <v>6000</v>
      </c>
      <c r="FM58" s="3">
        <f>FK58*FL58</f>
        <v>240000</v>
      </c>
      <c r="FN58" s="3" t="s">
        <v>139</v>
      </c>
      <c r="FO58" s="2"/>
      <c r="FP58" s="3">
        <v>6000</v>
      </c>
      <c r="FQ58" s="3">
        <f t="shared" si="55"/>
        <v>0</v>
      </c>
      <c r="FR58" s="3" t="s">
        <v>139</v>
      </c>
      <c r="FS58" s="13"/>
      <c r="FT58" s="15">
        <v>6000</v>
      </c>
      <c r="FU58" s="3">
        <f t="shared" si="34"/>
        <v>0</v>
      </c>
      <c r="FV58" s="3" t="s">
        <v>139</v>
      </c>
      <c r="FW58" s="14"/>
      <c r="FX58" s="3">
        <v>8000</v>
      </c>
      <c r="FY58" s="3">
        <f>FW58*FX58</f>
        <v>0</v>
      </c>
      <c r="FZ58" s="3" t="s">
        <v>139</v>
      </c>
      <c r="GA58" s="3">
        <v>2</v>
      </c>
      <c r="GB58" s="3">
        <v>8000</v>
      </c>
      <c r="GC58" s="3">
        <f t="shared" si="36"/>
        <v>16000</v>
      </c>
      <c r="GD58" s="3" t="s">
        <v>139</v>
      </c>
      <c r="GE58" s="3">
        <v>10</v>
      </c>
      <c r="GF58" s="3">
        <v>10000</v>
      </c>
      <c r="GG58" s="3">
        <f t="shared" si="37"/>
        <v>100000</v>
      </c>
      <c r="GH58" s="3" t="s">
        <v>139</v>
      </c>
      <c r="GI58" s="92"/>
      <c r="GJ58" s="8"/>
      <c r="GK58" s="3">
        <f t="shared" si="38"/>
        <v>0</v>
      </c>
      <c r="GL58" s="92">
        <f t="shared" si="39"/>
        <v>356000</v>
      </c>
      <c r="GM58" s="8">
        <f t="shared" si="40"/>
        <v>3331000</v>
      </c>
      <c r="GN58" s="8">
        <f t="shared" si="41"/>
        <v>500</v>
      </c>
      <c r="GO58" s="100">
        <v>4000</v>
      </c>
      <c r="GP58" s="8">
        <f t="shared" si="56"/>
        <v>2000000</v>
      </c>
      <c r="GQ58" s="8">
        <f t="shared" si="42"/>
        <v>8000000</v>
      </c>
      <c r="GR58" s="8">
        <f t="shared" si="43"/>
        <v>-1331000</v>
      </c>
      <c r="GS58" s="8">
        <f t="shared" si="44"/>
        <v>4669000</v>
      </c>
      <c r="GT58" s="15" t="s">
        <v>1791</v>
      </c>
      <c r="GU58" s="48" t="s">
        <v>967</v>
      </c>
    </row>
    <row r="59" spans="1:203" s="26" customFormat="1" ht="158.25" customHeight="1">
      <c r="A59" s="44">
        <v>60</v>
      </c>
      <c r="B59" s="23" t="s">
        <v>797</v>
      </c>
      <c r="C59" s="13" t="s">
        <v>798</v>
      </c>
      <c r="D59" s="15" t="s">
        <v>968</v>
      </c>
      <c r="E59" s="13" t="s">
        <v>969</v>
      </c>
      <c r="F59" s="15" t="s">
        <v>970</v>
      </c>
      <c r="G59" s="15" t="s">
        <v>971</v>
      </c>
      <c r="H59" s="13" t="s">
        <v>972</v>
      </c>
      <c r="I59" s="15" t="s">
        <v>973</v>
      </c>
      <c r="J59" s="15" t="s">
        <v>974</v>
      </c>
      <c r="K59" s="15" t="s">
        <v>975</v>
      </c>
      <c r="L59" s="13" t="s">
        <v>976</v>
      </c>
      <c r="M59" s="13" t="s">
        <v>800</v>
      </c>
      <c r="N59" s="15" t="s">
        <v>977</v>
      </c>
      <c r="O59" s="15" t="s">
        <v>978</v>
      </c>
      <c r="P59" s="13" t="s">
        <v>801</v>
      </c>
      <c r="Q59" s="15" t="s">
        <v>980</v>
      </c>
      <c r="R59" s="13">
        <v>0.45</v>
      </c>
      <c r="S59" s="13">
        <v>0.6</v>
      </c>
      <c r="T59" s="42">
        <v>80000</v>
      </c>
      <c r="U59" s="15">
        <v>2190</v>
      </c>
      <c r="V59" s="19">
        <v>2555</v>
      </c>
      <c r="W59" s="35" t="s">
        <v>979</v>
      </c>
      <c r="X59" s="42">
        <v>0.5</v>
      </c>
      <c r="Y59" s="13">
        <v>1.5</v>
      </c>
      <c r="Z59" s="15" t="s">
        <v>983</v>
      </c>
      <c r="AA59" s="15" t="s">
        <v>981</v>
      </c>
      <c r="AB59" s="15" t="s">
        <v>982</v>
      </c>
      <c r="AC59" s="3">
        <v>50000</v>
      </c>
      <c r="AD59" s="3">
        <v>10</v>
      </c>
      <c r="AE59" s="13"/>
      <c r="AF59" s="3">
        <v>80000</v>
      </c>
      <c r="AG59" s="3">
        <f t="shared" si="45"/>
        <v>500000</v>
      </c>
      <c r="AH59" s="3"/>
      <c r="AI59" s="13"/>
      <c r="AJ59" s="15">
        <v>1000</v>
      </c>
      <c r="AK59" s="15"/>
      <c r="AL59" s="15">
        <v>6000</v>
      </c>
      <c r="AM59" s="15"/>
      <c r="AN59" s="15">
        <v>3000</v>
      </c>
      <c r="AO59" s="42"/>
      <c r="AP59" s="15">
        <v>6000</v>
      </c>
      <c r="AQ59" s="2">
        <f t="shared" si="0"/>
        <v>0</v>
      </c>
      <c r="AR59" s="3" t="s">
        <v>984</v>
      </c>
      <c r="AS59" s="15" t="s">
        <v>985</v>
      </c>
      <c r="AT59" s="2" t="s">
        <v>139</v>
      </c>
      <c r="AU59" s="13">
        <v>7.5</v>
      </c>
      <c r="AV59" s="3">
        <v>6000</v>
      </c>
      <c r="AW59" s="2">
        <f t="shared" si="134"/>
        <v>45000</v>
      </c>
      <c r="AX59" s="2" t="s">
        <v>139</v>
      </c>
      <c r="AY59" s="13">
        <v>5</v>
      </c>
      <c r="AZ59" s="3">
        <v>6000</v>
      </c>
      <c r="BA59" s="2">
        <f t="shared" ref="BA59" si="150">AY59*AZ59</f>
        <v>30000</v>
      </c>
      <c r="BB59" s="2" t="s">
        <v>139</v>
      </c>
      <c r="BC59" s="13">
        <v>2</v>
      </c>
      <c r="BD59" s="3">
        <v>6000</v>
      </c>
      <c r="BE59" s="3">
        <f t="shared" ref="BE59" si="151">BC59*BD59</f>
        <v>12000</v>
      </c>
      <c r="BF59" s="3" t="s">
        <v>125</v>
      </c>
      <c r="BG59" s="2">
        <v>2</v>
      </c>
      <c r="BH59" s="3">
        <v>6000</v>
      </c>
      <c r="BI59" s="3">
        <f t="shared" si="147"/>
        <v>12000</v>
      </c>
      <c r="BJ59" s="3" t="s">
        <v>126</v>
      </c>
      <c r="BK59" s="13"/>
      <c r="BL59" s="3">
        <v>1000</v>
      </c>
      <c r="BM59" s="3">
        <f t="shared" ref="BM59" si="152">BK59*BL59</f>
        <v>0</v>
      </c>
      <c r="BN59" s="13" t="s">
        <v>20</v>
      </c>
      <c r="BO59" s="13"/>
      <c r="BP59" s="2">
        <v>3000</v>
      </c>
      <c r="BQ59" s="3">
        <f>BO59*BP59</f>
        <v>0</v>
      </c>
      <c r="BR59" s="2" t="s">
        <v>126</v>
      </c>
      <c r="BS59" s="13"/>
      <c r="BT59" s="2">
        <f>6000</f>
        <v>6000</v>
      </c>
      <c r="BU59" s="3">
        <f t="shared" ref="BU59" si="153">BS59*BT59</f>
        <v>0</v>
      </c>
      <c r="BV59" s="2" t="s">
        <v>126</v>
      </c>
      <c r="BW59" s="13">
        <v>9</v>
      </c>
      <c r="BX59" s="2">
        <v>6000</v>
      </c>
      <c r="BY59" s="3">
        <f t="shared" si="136"/>
        <v>54000</v>
      </c>
      <c r="BZ59" s="92">
        <f t="shared" si="146"/>
        <v>123000</v>
      </c>
      <c r="CA59" s="2" t="s">
        <v>139</v>
      </c>
      <c r="CB59" s="3">
        <v>5</v>
      </c>
      <c r="CC59" s="3">
        <v>8000</v>
      </c>
      <c r="CD59" s="3">
        <f t="shared" si="10"/>
        <v>40000</v>
      </c>
      <c r="CE59" s="2" t="s">
        <v>139</v>
      </c>
      <c r="CF59" s="2">
        <v>30</v>
      </c>
      <c r="CG59" s="2">
        <v>6000</v>
      </c>
      <c r="CH59" s="3">
        <f t="shared" si="11"/>
        <v>180000</v>
      </c>
      <c r="CI59" s="3" t="s">
        <v>139</v>
      </c>
      <c r="CJ59" s="3">
        <v>1</v>
      </c>
      <c r="CK59" s="13"/>
      <c r="CL59" s="3">
        <f t="shared" si="12"/>
        <v>0</v>
      </c>
      <c r="CM59" s="5">
        <f t="shared" si="13"/>
        <v>220000</v>
      </c>
      <c r="CN59" s="3" t="s">
        <v>125</v>
      </c>
      <c r="CO59" s="3">
        <v>0</v>
      </c>
      <c r="CP59" s="3">
        <v>6000</v>
      </c>
      <c r="CQ59" s="3">
        <f t="shared" ref="CQ59:CQ91" si="154">CO59*CP59</f>
        <v>0</v>
      </c>
      <c r="CR59" s="3" t="s">
        <v>125</v>
      </c>
      <c r="CS59" s="3">
        <v>75</v>
      </c>
      <c r="CT59" s="3">
        <v>6000</v>
      </c>
      <c r="CU59" s="3">
        <f t="shared" ref="CU59:CU91" si="155">CS59*CT59</f>
        <v>450000</v>
      </c>
      <c r="CV59" s="3" t="s">
        <v>125</v>
      </c>
      <c r="CW59" s="3">
        <v>30</v>
      </c>
      <c r="CX59" s="3">
        <v>6000</v>
      </c>
      <c r="CY59" s="3">
        <f t="shared" ref="CY59:CY63" si="156">CW59*CX59</f>
        <v>180000</v>
      </c>
      <c r="CZ59" s="3" t="s">
        <v>125</v>
      </c>
      <c r="DA59" s="3">
        <v>15</v>
      </c>
      <c r="DB59" s="3">
        <v>6000</v>
      </c>
      <c r="DC59" s="3">
        <f t="shared" ref="DC59:DC63" si="157">DA59*DB59</f>
        <v>90000</v>
      </c>
      <c r="DD59" s="3" t="s">
        <v>125</v>
      </c>
      <c r="DE59" s="3">
        <v>5</v>
      </c>
      <c r="DF59" s="3">
        <v>6000</v>
      </c>
      <c r="DG59" s="3">
        <f t="shared" si="121"/>
        <v>30000</v>
      </c>
      <c r="DH59" s="3" t="s">
        <v>125</v>
      </c>
      <c r="DI59" s="3">
        <v>100</v>
      </c>
      <c r="DJ59" s="3">
        <v>6000</v>
      </c>
      <c r="DK59" s="3">
        <f t="shared" ref="DK59:DK91" si="158">DI59*DJ59</f>
        <v>600000</v>
      </c>
      <c r="DL59" s="3" t="s">
        <v>125</v>
      </c>
      <c r="DM59" s="3"/>
      <c r="DN59" s="3">
        <v>6000</v>
      </c>
      <c r="DO59" s="3">
        <f t="shared" ref="DO59:DO91" si="159">DM59*DN59</f>
        <v>0</v>
      </c>
      <c r="DP59" s="3" t="s">
        <v>125</v>
      </c>
      <c r="DQ59" s="3"/>
      <c r="DR59" s="3">
        <v>6000</v>
      </c>
      <c r="DS59" s="3">
        <f t="shared" ref="DS59:DS63" si="160">DQ59*DR59</f>
        <v>0</v>
      </c>
      <c r="DT59" s="6">
        <f t="shared" ref="DT59:DT63" si="161">CQ59+CU59+CY59+DC59+DG59+DK59+DO59+DS59</f>
        <v>1350000</v>
      </c>
      <c r="DU59" s="2" t="s">
        <v>157</v>
      </c>
      <c r="DV59" s="3">
        <f t="shared" si="46"/>
        <v>0.45</v>
      </c>
      <c r="DW59" s="3">
        <f t="shared" si="47"/>
        <v>80000</v>
      </c>
      <c r="DX59" s="3">
        <f t="shared" si="23"/>
        <v>36000</v>
      </c>
      <c r="DY59" s="3" t="s">
        <v>127</v>
      </c>
      <c r="DZ59" s="3">
        <f t="shared" si="48"/>
        <v>10</v>
      </c>
      <c r="EA59" s="2">
        <v>50000</v>
      </c>
      <c r="EB59" s="3">
        <f t="shared" si="24"/>
        <v>500000</v>
      </c>
      <c r="EC59" s="2" t="s">
        <v>127</v>
      </c>
      <c r="ED59" s="3">
        <f t="shared" si="49"/>
        <v>0</v>
      </c>
      <c r="EE59" s="3">
        <v>80000</v>
      </c>
      <c r="EF59" s="3">
        <f t="shared" si="25"/>
        <v>0</v>
      </c>
      <c r="EG59" s="2" t="s">
        <v>157</v>
      </c>
      <c r="EH59" s="3">
        <f t="shared" si="50"/>
        <v>0</v>
      </c>
      <c r="EI59" s="3">
        <v>6000</v>
      </c>
      <c r="EJ59" s="7">
        <f t="shared" si="124"/>
        <v>0</v>
      </c>
      <c r="EK59" s="2" t="s">
        <v>157</v>
      </c>
      <c r="EL59" s="13">
        <f t="shared" si="149"/>
        <v>0</v>
      </c>
      <c r="EM59" s="3">
        <v>3000</v>
      </c>
      <c r="EN59" s="3">
        <f t="shared" si="27"/>
        <v>0</v>
      </c>
      <c r="EO59" s="3" t="s">
        <v>126</v>
      </c>
      <c r="EP59" s="3">
        <f t="shared" si="52"/>
        <v>0</v>
      </c>
      <c r="EQ59" s="3">
        <v>1000</v>
      </c>
      <c r="ER59" s="7">
        <f t="shared" si="53"/>
        <v>0</v>
      </c>
      <c r="ES59" s="3" t="s">
        <v>124</v>
      </c>
      <c r="ET59" s="2">
        <v>1</v>
      </c>
      <c r="EU59" s="3">
        <v>60000</v>
      </c>
      <c r="EV59" s="3">
        <f t="shared" si="28"/>
        <v>60000</v>
      </c>
      <c r="EW59" s="3" t="s">
        <v>124</v>
      </c>
      <c r="EX59" s="3"/>
      <c r="EY59" s="3">
        <v>60000</v>
      </c>
      <c r="EZ59" s="3">
        <f t="shared" si="29"/>
        <v>0</v>
      </c>
      <c r="FA59" s="3" t="s">
        <v>170</v>
      </c>
      <c r="FB59" s="14"/>
      <c r="FC59" s="3">
        <v>1000</v>
      </c>
      <c r="FD59" s="3">
        <f t="shared" si="30"/>
        <v>0</v>
      </c>
      <c r="FE59" s="3" t="s">
        <v>126</v>
      </c>
      <c r="FF59" s="3">
        <f t="shared" si="54"/>
        <v>0</v>
      </c>
      <c r="FG59" s="3">
        <v>6000</v>
      </c>
      <c r="FH59" s="3">
        <f t="shared" si="31"/>
        <v>0</v>
      </c>
      <c r="FI59" s="1">
        <f t="shared" si="32"/>
        <v>596000</v>
      </c>
      <c r="FJ59" s="3" t="s">
        <v>139</v>
      </c>
      <c r="FK59" s="2">
        <v>40</v>
      </c>
      <c r="FL59" s="2">
        <v>6000</v>
      </c>
      <c r="FM59" s="3">
        <f t="shared" si="33"/>
        <v>240000</v>
      </c>
      <c r="FN59" s="3" t="s">
        <v>139</v>
      </c>
      <c r="FO59" s="2"/>
      <c r="FP59" s="3">
        <v>6000</v>
      </c>
      <c r="FQ59" s="3">
        <f t="shared" si="55"/>
        <v>0</v>
      </c>
      <c r="FR59" s="3" t="s">
        <v>139</v>
      </c>
      <c r="FS59" s="13"/>
      <c r="FT59" s="15">
        <v>6000</v>
      </c>
      <c r="FU59" s="3">
        <f t="shared" si="34"/>
        <v>0</v>
      </c>
      <c r="FV59" s="3" t="s">
        <v>139</v>
      </c>
      <c r="FW59" s="14"/>
      <c r="FX59" s="3">
        <v>8000</v>
      </c>
      <c r="FY59" s="3">
        <f t="shared" si="35"/>
        <v>0</v>
      </c>
      <c r="FZ59" s="3" t="s">
        <v>139</v>
      </c>
      <c r="GA59" s="3">
        <v>2</v>
      </c>
      <c r="GB59" s="3">
        <v>8000</v>
      </c>
      <c r="GC59" s="3">
        <f t="shared" si="36"/>
        <v>16000</v>
      </c>
      <c r="GD59" s="3" t="s">
        <v>139</v>
      </c>
      <c r="GE59" s="3">
        <v>10</v>
      </c>
      <c r="GF59" s="3">
        <v>10000</v>
      </c>
      <c r="GG59" s="3">
        <f t="shared" si="37"/>
        <v>100000</v>
      </c>
      <c r="GH59" s="3" t="s">
        <v>139</v>
      </c>
      <c r="GI59" s="3"/>
      <c r="GJ59" s="13"/>
      <c r="GK59" s="3">
        <f t="shared" si="38"/>
        <v>0</v>
      </c>
      <c r="GL59" s="92">
        <f t="shared" si="39"/>
        <v>356000</v>
      </c>
      <c r="GM59" s="8">
        <f t="shared" si="40"/>
        <v>2645000</v>
      </c>
      <c r="GN59" s="8">
        <f t="shared" si="41"/>
        <v>500</v>
      </c>
      <c r="GO59" s="101">
        <v>30000</v>
      </c>
      <c r="GP59" s="8">
        <f t="shared" si="56"/>
        <v>15000000</v>
      </c>
      <c r="GQ59" s="8">
        <f t="shared" si="42"/>
        <v>45000000</v>
      </c>
      <c r="GR59" s="8">
        <f t="shared" si="43"/>
        <v>12355000</v>
      </c>
      <c r="GS59" s="8">
        <f t="shared" si="44"/>
        <v>42355000</v>
      </c>
      <c r="GT59" s="15" t="s">
        <v>1792</v>
      </c>
      <c r="GU59" s="47" t="s">
        <v>1793</v>
      </c>
    </row>
    <row r="60" spans="1:203" s="26" customFormat="1" ht="158.25" customHeight="1">
      <c r="A60" s="44">
        <v>61</v>
      </c>
      <c r="B60" s="22" t="s">
        <v>793</v>
      </c>
      <c r="C60" s="15" t="s">
        <v>986</v>
      </c>
      <c r="D60" s="15" t="s">
        <v>987</v>
      </c>
      <c r="E60" s="13" t="s">
        <v>988</v>
      </c>
      <c r="F60" s="13" t="s">
        <v>988</v>
      </c>
      <c r="G60" s="14" t="s">
        <v>989</v>
      </c>
      <c r="H60" s="13" t="s">
        <v>84</v>
      </c>
      <c r="I60" s="15" t="s">
        <v>842</v>
      </c>
      <c r="J60" s="15" t="s">
        <v>990</v>
      </c>
      <c r="K60" s="13" t="s">
        <v>991</v>
      </c>
      <c r="L60" s="13" t="s">
        <v>992</v>
      </c>
      <c r="M60" s="13" t="s">
        <v>993</v>
      </c>
      <c r="N60" s="15" t="s">
        <v>994</v>
      </c>
      <c r="O60" s="15" t="s">
        <v>995</v>
      </c>
      <c r="P60" s="13" t="s">
        <v>996</v>
      </c>
      <c r="Q60" s="15" t="s">
        <v>997</v>
      </c>
      <c r="R60" s="15">
        <v>80</v>
      </c>
      <c r="S60" s="7">
        <v>100</v>
      </c>
      <c r="T60" s="15">
        <v>4000</v>
      </c>
      <c r="U60" s="15">
        <v>90</v>
      </c>
      <c r="V60" s="15">
        <v>120</v>
      </c>
      <c r="W60" s="15" t="s">
        <v>998</v>
      </c>
      <c r="X60" s="7">
        <v>0.6</v>
      </c>
      <c r="Y60" s="15">
        <v>1.5</v>
      </c>
      <c r="Z60" s="15" t="s">
        <v>1000</v>
      </c>
      <c r="AA60" s="15" t="s">
        <v>999</v>
      </c>
      <c r="AB60" s="15" t="s">
        <v>1001</v>
      </c>
      <c r="AC60" s="3">
        <v>50000</v>
      </c>
      <c r="AD60" s="13">
        <v>10</v>
      </c>
      <c r="AE60" s="13"/>
      <c r="AF60" s="3">
        <v>80000</v>
      </c>
      <c r="AG60" s="3">
        <f t="shared" si="45"/>
        <v>500000</v>
      </c>
      <c r="AH60" s="15" t="s">
        <v>2023</v>
      </c>
      <c r="AI60" s="15">
        <v>100</v>
      </c>
      <c r="AJ60" s="15">
        <v>1000</v>
      </c>
      <c r="AK60" s="7">
        <v>50</v>
      </c>
      <c r="AL60" s="15">
        <v>6000</v>
      </c>
      <c r="AM60" s="15"/>
      <c r="AN60" s="15">
        <v>3000</v>
      </c>
      <c r="AO60" s="42"/>
      <c r="AP60" s="15">
        <v>6000</v>
      </c>
      <c r="AQ60" s="2">
        <f t="shared" si="0"/>
        <v>400000</v>
      </c>
      <c r="AR60" s="15" t="s">
        <v>1002</v>
      </c>
      <c r="AS60" s="15" t="s">
        <v>1003</v>
      </c>
      <c r="AT60" s="2" t="s">
        <v>139</v>
      </c>
      <c r="AU60" s="36"/>
      <c r="AV60" s="3">
        <v>6000</v>
      </c>
      <c r="AW60" s="2">
        <f t="shared" si="134"/>
        <v>0</v>
      </c>
      <c r="AX60" s="3" t="s">
        <v>139</v>
      </c>
      <c r="AY60" s="13"/>
      <c r="AZ60" s="3">
        <v>6000</v>
      </c>
      <c r="BA60" s="3">
        <f t="shared" si="2"/>
        <v>0</v>
      </c>
      <c r="BB60" s="3" t="s">
        <v>139</v>
      </c>
      <c r="BC60" s="34"/>
      <c r="BD60" s="3">
        <v>6000</v>
      </c>
      <c r="BE60" s="3">
        <f t="shared" si="3"/>
        <v>0</v>
      </c>
      <c r="BF60" s="3" t="s">
        <v>125</v>
      </c>
      <c r="BG60" s="3"/>
      <c r="BH60" s="3">
        <v>6000</v>
      </c>
      <c r="BI60" s="3">
        <f t="shared" ref="BI60:BI65" si="162">BG60*BH60</f>
        <v>0</v>
      </c>
      <c r="BJ60" s="13" t="s">
        <v>20</v>
      </c>
      <c r="BK60" s="14"/>
      <c r="BL60" s="3">
        <v>1000</v>
      </c>
      <c r="BM60" s="3">
        <f t="shared" si="62"/>
        <v>0</v>
      </c>
      <c r="BN60" s="2" t="s">
        <v>126</v>
      </c>
      <c r="BO60" s="13"/>
      <c r="BP60" s="2">
        <v>3000</v>
      </c>
      <c r="BQ60" s="13"/>
      <c r="BR60" s="2" t="s">
        <v>126</v>
      </c>
      <c r="BS60" s="13"/>
      <c r="BT60" s="2">
        <f>6000</f>
        <v>6000</v>
      </c>
      <c r="BU60" s="3">
        <f t="shared" si="135"/>
        <v>0</v>
      </c>
      <c r="BV60" s="2" t="s">
        <v>126</v>
      </c>
      <c r="BW60" s="2"/>
      <c r="BX60" s="2">
        <v>6000</v>
      </c>
      <c r="BY60" s="3">
        <f t="shared" si="136"/>
        <v>0</v>
      </c>
      <c r="BZ60" s="92">
        <f t="shared" si="146"/>
        <v>0</v>
      </c>
      <c r="CA60" s="2" t="s">
        <v>139</v>
      </c>
      <c r="CB60" s="3">
        <v>5</v>
      </c>
      <c r="CC60" s="3">
        <v>8000</v>
      </c>
      <c r="CD60" s="3">
        <f t="shared" si="10"/>
        <v>40000</v>
      </c>
      <c r="CE60" s="2" t="s">
        <v>139</v>
      </c>
      <c r="CF60" s="2">
        <v>30</v>
      </c>
      <c r="CG60" s="2">
        <v>6000</v>
      </c>
      <c r="CH60" s="3">
        <f t="shared" si="11"/>
        <v>180000</v>
      </c>
      <c r="CI60" s="3" t="s">
        <v>139</v>
      </c>
      <c r="CJ60" s="3">
        <v>1</v>
      </c>
      <c r="CK60" s="13"/>
      <c r="CL60" s="3">
        <f t="shared" si="12"/>
        <v>0</v>
      </c>
      <c r="CM60" s="5">
        <f t="shared" si="13"/>
        <v>220000</v>
      </c>
      <c r="CN60" s="3" t="s">
        <v>125</v>
      </c>
      <c r="CO60" s="3">
        <v>0</v>
      </c>
      <c r="CP60" s="3">
        <v>6000</v>
      </c>
      <c r="CQ60" s="3">
        <f t="shared" si="154"/>
        <v>0</v>
      </c>
      <c r="CR60" s="3" t="s">
        <v>125</v>
      </c>
      <c r="CS60" s="3">
        <v>50</v>
      </c>
      <c r="CT60" s="3">
        <v>6000</v>
      </c>
      <c r="CU60" s="3">
        <f t="shared" si="155"/>
        <v>300000</v>
      </c>
      <c r="CV60" s="3" t="s">
        <v>125</v>
      </c>
      <c r="CW60" s="3">
        <v>30</v>
      </c>
      <c r="CX60" s="3">
        <v>6000</v>
      </c>
      <c r="CY60" s="3">
        <f t="shared" si="156"/>
        <v>180000</v>
      </c>
      <c r="CZ60" s="3" t="s">
        <v>125</v>
      </c>
      <c r="DA60" s="3">
        <v>10</v>
      </c>
      <c r="DB60" s="3">
        <v>6000</v>
      </c>
      <c r="DC60" s="3">
        <f t="shared" si="157"/>
        <v>60000</v>
      </c>
      <c r="DD60" s="3" t="s">
        <v>125</v>
      </c>
      <c r="DE60" s="3">
        <v>5</v>
      </c>
      <c r="DF60" s="3">
        <v>6000</v>
      </c>
      <c r="DG60" s="3">
        <f t="shared" ref="DG60:DG63" si="163">DE60*DF60</f>
        <v>30000</v>
      </c>
      <c r="DH60" s="3" t="s">
        <v>125</v>
      </c>
      <c r="DI60" s="3">
        <v>50</v>
      </c>
      <c r="DJ60" s="3">
        <v>6000</v>
      </c>
      <c r="DK60" s="3">
        <f t="shared" si="158"/>
        <v>300000</v>
      </c>
      <c r="DL60" s="3" t="s">
        <v>125</v>
      </c>
      <c r="DM60" s="3"/>
      <c r="DN60" s="3">
        <v>6000</v>
      </c>
      <c r="DO60" s="3">
        <f t="shared" si="159"/>
        <v>0</v>
      </c>
      <c r="DP60" s="3" t="s">
        <v>125</v>
      </c>
      <c r="DQ60" s="3"/>
      <c r="DR60" s="3">
        <v>6000</v>
      </c>
      <c r="DS60" s="3">
        <f t="shared" si="160"/>
        <v>0</v>
      </c>
      <c r="DT60" s="6">
        <f t="shared" si="161"/>
        <v>870000</v>
      </c>
      <c r="DU60" s="2" t="s">
        <v>157</v>
      </c>
      <c r="DV60" s="3">
        <f t="shared" si="46"/>
        <v>80</v>
      </c>
      <c r="DW60" s="3">
        <f t="shared" si="47"/>
        <v>4000</v>
      </c>
      <c r="DX60" s="3">
        <f t="shared" si="23"/>
        <v>320000</v>
      </c>
      <c r="DY60" s="3" t="s">
        <v>127</v>
      </c>
      <c r="DZ60" s="3">
        <f t="shared" si="48"/>
        <v>10</v>
      </c>
      <c r="EA60" s="2">
        <v>50000</v>
      </c>
      <c r="EB60" s="3">
        <f t="shared" si="24"/>
        <v>500000</v>
      </c>
      <c r="EC60" s="2" t="s">
        <v>127</v>
      </c>
      <c r="ED60" s="3">
        <f t="shared" si="49"/>
        <v>0</v>
      </c>
      <c r="EE60" s="3">
        <v>80000</v>
      </c>
      <c r="EF60" s="3">
        <f t="shared" si="25"/>
        <v>0</v>
      </c>
      <c r="EG60" s="2" t="s">
        <v>157</v>
      </c>
      <c r="EH60" s="3">
        <f t="shared" si="50"/>
        <v>50</v>
      </c>
      <c r="EI60" s="3">
        <v>6000</v>
      </c>
      <c r="EJ60" s="7">
        <f t="shared" si="124"/>
        <v>300000</v>
      </c>
      <c r="EK60" s="2" t="s">
        <v>157</v>
      </c>
      <c r="EL60" s="13">
        <f t="shared" si="149"/>
        <v>0</v>
      </c>
      <c r="EM60" s="3">
        <v>3000</v>
      </c>
      <c r="EN60" s="3">
        <f t="shared" si="27"/>
        <v>0</v>
      </c>
      <c r="EO60" s="3" t="s">
        <v>126</v>
      </c>
      <c r="EP60" s="3">
        <f t="shared" si="52"/>
        <v>100</v>
      </c>
      <c r="EQ60" s="3">
        <v>1000</v>
      </c>
      <c r="ER60" s="7">
        <f t="shared" si="53"/>
        <v>100000</v>
      </c>
      <c r="ES60" s="3" t="s">
        <v>124</v>
      </c>
      <c r="ET60" s="2">
        <v>1</v>
      </c>
      <c r="EU60" s="3">
        <v>60000</v>
      </c>
      <c r="EV60" s="3">
        <f t="shared" si="28"/>
        <v>60000</v>
      </c>
      <c r="EW60" s="3" t="s">
        <v>124</v>
      </c>
      <c r="EX60" s="13"/>
      <c r="EY60" s="3">
        <v>60000</v>
      </c>
      <c r="EZ60" s="3">
        <f t="shared" si="29"/>
        <v>0</v>
      </c>
      <c r="FA60" s="3" t="s">
        <v>170</v>
      </c>
      <c r="FB60" s="14"/>
      <c r="FC60" s="3">
        <v>1000</v>
      </c>
      <c r="FD60" s="3">
        <f t="shared" si="30"/>
        <v>0</v>
      </c>
      <c r="FE60" s="3" t="s">
        <v>126</v>
      </c>
      <c r="FF60" s="3">
        <f t="shared" si="54"/>
        <v>0</v>
      </c>
      <c r="FG60" s="3">
        <v>6000</v>
      </c>
      <c r="FH60" s="3">
        <f t="shared" si="31"/>
        <v>0</v>
      </c>
      <c r="FI60" s="1">
        <f t="shared" si="32"/>
        <v>1280000</v>
      </c>
      <c r="FJ60" s="3" t="s">
        <v>139</v>
      </c>
      <c r="FK60" s="2">
        <v>40</v>
      </c>
      <c r="FL60" s="2">
        <v>6000</v>
      </c>
      <c r="FM60" s="3">
        <f t="shared" si="33"/>
        <v>240000</v>
      </c>
      <c r="FN60" s="3" t="s">
        <v>139</v>
      </c>
      <c r="FO60" s="2"/>
      <c r="FP60" s="3">
        <v>6000</v>
      </c>
      <c r="FQ60" s="3">
        <f t="shared" si="55"/>
        <v>0</v>
      </c>
      <c r="FR60" s="3" t="s">
        <v>139</v>
      </c>
      <c r="FS60" s="13"/>
      <c r="FT60" s="15">
        <v>6000</v>
      </c>
      <c r="FU60" s="3">
        <f t="shared" si="34"/>
        <v>0</v>
      </c>
      <c r="FV60" s="3" t="s">
        <v>139</v>
      </c>
      <c r="FW60" s="14"/>
      <c r="FX60" s="3">
        <v>8000</v>
      </c>
      <c r="FY60" s="3">
        <f t="shared" si="35"/>
        <v>0</v>
      </c>
      <c r="FZ60" s="3" t="s">
        <v>139</v>
      </c>
      <c r="GA60" s="3">
        <v>2</v>
      </c>
      <c r="GB60" s="3">
        <v>8000</v>
      </c>
      <c r="GC60" s="3">
        <f t="shared" si="36"/>
        <v>16000</v>
      </c>
      <c r="GD60" s="3" t="s">
        <v>139</v>
      </c>
      <c r="GE60" s="3">
        <v>10</v>
      </c>
      <c r="GF60" s="3">
        <v>10000</v>
      </c>
      <c r="GG60" s="3">
        <f t="shared" si="37"/>
        <v>100000</v>
      </c>
      <c r="GH60" s="3" t="s">
        <v>139</v>
      </c>
      <c r="GI60" s="13"/>
      <c r="GJ60" s="13"/>
      <c r="GK60" s="3">
        <f t="shared" si="38"/>
        <v>0</v>
      </c>
      <c r="GL60" s="92">
        <f t="shared" si="39"/>
        <v>356000</v>
      </c>
      <c r="GM60" s="8">
        <f t="shared" si="40"/>
        <v>2726000</v>
      </c>
      <c r="GN60" s="8">
        <f t="shared" si="41"/>
        <v>600</v>
      </c>
      <c r="GO60" s="101">
        <v>5200</v>
      </c>
      <c r="GP60" s="8">
        <f t="shared" si="56"/>
        <v>3120000</v>
      </c>
      <c r="GQ60" s="8">
        <f t="shared" si="42"/>
        <v>7800000</v>
      </c>
      <c r="GR60" s="8">
        <f t="shared" si="43"/>
        <v>394000</v>
      </c>
      <c r="GS60" s="8">
        <f t="shared" si="44"/>
        <v>5074000</v>
      </c>
      <c r="GT60" s="15" t="s">
        <v>1795</v>
      </c>
      <c r="GU60" s="47" t="s">
        <v>1794</v>
      </c>
    </row>
    <row r="61" spans="1:203" s="26" customFormat="1" ht="158.25" customHeight="1">
      <c r="A61" s="44">
        <v>62</v>
      </c>
      <c r="B61" s="23" t="s">
        <v>1004</v>
      </c>
      <c r="C61" s="13" t="s">
        <v>1005</v>
      </c>
      <c r="D61" s="15" t="s">
        <v>1017</v>
      </c>
      <c r="E61" s="13" t="s">
        <v>1006</v>
      </c>
      <c r="F61" s="13" t="s">
        <v>1006</v>
      </c>
      <c r="G61" s="15" t="s">
        <v>1013</v>
      </c>
      <c r="H61" s="13" t="s">
        <v>1018</v>
      </c>
      <c r="I61" s="15" t="s">
        <v>1007</v>
      </c>
      <c r="J61" s="15" t="s">
        <v>1008</v>
      </c>
      <c r="K61" s="15" t="s">
        <v>1009</v>
      </c>
      <c r="L61" s="15" t="s">
        <v>1010</v>
      </c>
      <c r="M61" s="15" t="s">
        <v>1011</v>
      </c>
      <c r="N61" s="15" t="s">
        <v>1012</v>
      </c>
      <c r="O61" s="15" t="s">
        <v>1014</v>
      </c>
      <c r="P61" s="15" t="s">
        <v>1015</v>
      </c>
      <c r="Q61" s="13" t="s">
        <v>997</v>
      </c>
      <c r="R61" s="15">
        <v>10</v>
      </c>
      <c r="S61" s="15">
        <v>20</v>
      </c>
      <c r="T61" s="15">
        <v>2500</v>
      </c>
      <c r="U61" s="15">
        <v>150</v>
      </c>
      <c r="V61" s="15">
        <v>300</v>
      </c>
      <c r="W61" s="15" t="s">
        <v>1016</v>
      </c>
      <c r="X61" s="15">
        <v>0.6</v>
      </c>
      <c r="Y61" s="15">
        <v>2</v>
      </c>
      <c r="Z61" s="15" t="s">
        <v>1019</v>
      </c>
      <c r="AA61" s="15" t="s">
        <v>1020</v>
      </c>
      <c r="AB61" s="15" t="s">
        <v>1021</v>
      </c>
      <c r="AC61" s="3">
        <v>50000</v>
      </c>
      <c r="AD61" s="13">
        <v>5</v>
      </c>
      <c r="AE61" s="13"/>
      <c r="AF61" s="3">
        <v>80000</v>
      </c>
      <c r="AG61" s="3">
        <f t="shared" si="45"/>
        <v>250000</v>
      </c>
      <c r="AH61" s="15" t="s">
        <v>2022</v>
      </c>
      <c r="AI61" s="13">
        <v>100</v>
      </c>
      <c r="AJ61" s="15">
        <v>1000</v>
      </c>
      <c r="AK61" s="13">
        <v>50</v>
      </c>
      <c r="AL61" s="15">
        <v>6000</v>
      </c>
      <c r="AM61" s="15"/>
      <c r="AN61" s="15">
        <v>3000</v>
      </c>
      <c r="AO61" s="42"/>
      <c r="AP61" s="15">
        <v>6000</v>
      </c>
      <c r="AQ61" s="2">
        <f t="shared" si="0"/>
        <v>400000</v>
      </c>
      <c r="AR61" s="15" t="s">
        <v>1023</v>
      </c>
      <c r="AS61" s="13" t="s">
        <v>1022</v>
      </c>
      <c r="AT61" s="2" t="s">
        <v>139</v>
      </c>
      <c r="AU61" s="36"/>
      <c r="AV61" s="3">
        <v>6000</v>
      </c>
      <c r="AW61" s="2">
        <f t="shared" si="134"/>
        <v>0</v>
      </c>
      <c r="AX61" s="3" t="s">
        <v>139</v>
      </c>
      <c r="AY61" s="13"/>
      <c r="AZ61" s="3">
        <v>6000</v>
      </c>
      <c r="BA61" s="3">
        <f t="shared" si="2"/>
        <v>0</v>
      </c>
      <c r="BB61" s="3" t="s">
        <v>139</v>
      </c>
      <c r="BC61" s="34"/>
      <c r="BD61" s="3">
        <v>6000</v>
      </c>
      <c r="BE61" s="3">
        <f t="shared" si="3"/>
        <v>0</v>
      </c>
      <c r="BF61" s="3" t="s">
        <v>125</v>
      </c>
      <c r="BG61" s="3"/>
      <c r="BH61" s="3">
        <v>6000</v>
      </c>
      <c r="BI61" s="3">
        <f t="shared" si="162"/>
        <v>0</v>
      </c>
      <c r="BJ61" s="13" t="s">
        <v>20</v>
      </c>
      <c r="BK61" s="14"/>
      <c r="BL61" s="3">
        <v>1000</v>
      </c>
      <c r="BM61" s="3">
        <f t="shared" si="62"/>
        <v>0</v>
      </c>
      <c r="BN61" s="2" t="s">
        <v>126</v>
      </c>
      <c r="BO61" s="13"/>
      <c r="BP61" s="2">
        <v>3000</v>
      </c>
      <c r="BQ61" s="13"/>
      <c r="BR61" s="2" t="s">
        <v>126</v>
      </c>
      <c r="BS61" s="13"/>
      <c r="BT61" s="2">
        <f>6000</f>
        <v>6000</v>
      </c>
      <c r="BU61" s="3">
        <f t="shared" si="135"/>
        <v>0</v>
      </c>
      <c r="BV61" s="2" t="s">
        <v>126</v>
      </c>
      <c r="BW61" s="2"/>
      <c r="BX61" s="2">
        <v>6000</v>
      </c>
      <c r="BY61" s="3">
        <f t="shared" si="136"/>
        <v>0</v>
      </c>
      <c r="BZ61" s="92">
        <f t="shared" si="146"/>
        <v>0</v>
      </c>
      <c r="CA61" s="2" t="s">
        <v>139</v>
      </c>
      <c r="CB61" s="3">
        <v>5</v>
      </c>
      <c r="CC61" s="3">
        <v>8000</v>
      </c>
      <c r="CD61" s="3">
        <f t="shared" si="10"/>
        <v>40000</v>
      </c>
      <c r="CE61" s="2" t="s">
        <v>139</v>
      </c>
      <c r="CF61" s="2">
        <v>30</v>
      </c>
      <c r="CG61" s="2">
        <v>6000</v>
      </c>
      <c r="CH61" s="3">
        <f t="shared" si="11"/>
        <v>180000</v>
      </c>
      <c r="CI61" s="3" t="s">
        <v>139</v>
      </c>
      <c r="CJ61" s="3">
        <v>1</v>
      </c>
      <c r="CK61" s="13"/>
      <c r="CL61" s="3">
        <f t="shared" si="12"/>
        <v>0</v>
      </c>
      <c r="CM61" s="5">
        <f t="shared" si="13"/>
        <v>220000</v>
      </c>
      <c r="CN61" s="3" t="s">
        <v>125</v>
      </c>
      <c r="CO61" s="3">
        <v>0</v>
      </c>
      <c r="CP61" s="3">
        <v>6000</v>
      </c>
      <c r="CQ61" s="3">
        <f t="shared" si="154"/>
        <v>0</v>
      </c>
      <c r="CR61" s="3" t="s">
        <v>125</v>
      </c>
      <c r="CS61" s="3">
        <v>50</v>
      </c>
      <c r="CT61" s="3">
        <v>6000</v>
      </c>
      <c r="CU61" s="3">
        <f t="shared" si="155"/>
        <v>300000</v>
      </c>
      <c r="CV61" s="3" t="s">
        <v>125</v>
      </c>
      <c r="CW61" s="3">
        <v>30</v>
      </c>
      <c r="CX61" s="3">
        <v>6000</v>
      </c>
      <c r="CY61" s="3">
        <f t="shared" si="156"/>
        <v>180000</v>
      </c>
      <c r="CZ61" s="3" t="s">
        <v>125</v>
      </c>
      <c r="DA61" s="3">
        <v>10</v>
      </c>
      <c r="DB61" s="3">
        <v>6000</v>
      </c>
      <c r="DC61" s="3">
        <f t="shared" si="157"/>
        <v>60000</v>
      </c>
      <c r="DD61" s="3" t="s">
        <v>125</v>
      </c>
      <c r="DE61" s="3">
        <v>5</v>
      </c>
      <c r="DF61" s="3">
        <v>6000</v>
      </c>
      <c r="DG61" s="3">
        <f t="shared" si="163"/>
        <v>30000</v>
      </c>
      <c r="DH61" s="3" t="s">
        <v>125</v>
      </c>
      <c r="DI61" s="3">
        <v>50</v>
      </c>
      <c r="DJ61" s="3">
        <v>6000</v>
      </c>
      <c r="DK61" s="3">
        <f t="shared" si="158"/>
        <v>300000</v>
      </c>
      <c r="DL61" s="3" t="s">
        <v>125</v>
      </c>
      <c r="DM61" s="3"/>
      <c r="DN61" s="3">
        <v>6000</v>
      </c>
      <c r="DO61" s="3">
        <f t="shared" si="159"/>
        <v>0</v>
      </c>
      <c r="DP61" s="3" t="s">
        <v>125</v>
      </c>
      <c r="DQ61" s="3"/>
      <c r="DR61" s="3">
        <v>6000</v>
      </c>
      <c r="DS61" s="3">
        <f t="shared" si="160"/>
        <v>0</v>
      </c>
      <c r="DT61" s="6">
        <f t="shared" si="161"/>
        <v>870000</v>
      </c>
      <c r="DU61" s="2" t="s">
        <v>157</v>
      </c>
      <c r="DV61" s="3">
        <f t="shared" si="46"/>
        <v>10</v>
      </c>
      <c r="DW61" s="3">
        <f t="shared" si="47"/>
        <v>2500</v>
      </c>
      <c r="DX61" s="3">
        <f t="shared" si="23"/>
        <v>25000</v>
      </c>
      <c r="DY61" s="3" t="s">
        <v>127</v>
      </c>
      <c r="DZ61" s="3">
        <f t="shared" si="48"/>
        <v>5</v>
      </c>
      <c r="EA61" s="2">
        <v>50000</v>
      </c>
      <c r="EB61" s="3">
        <f t="shared" si="24"/>
        <v>250000</v>
      </c>
      <c r="EC61" s="2" t="s">
        <v>127</v>
      </c>
      <c r="ED61" s="3">
        <f t="shared" si="49"/>
        <v>0</v>
      </c>
      <c r="EE61" s="3">
        <v>80000</v>
      </c>
      <c r="EF61" s="3">
        <f t="shared" si="25"/>
        <v>0</v>
      </c>
      <c r="EG61" s="2" t="s">
        <v>157</v>
      </c>
      <c r="EH61" s="3">
        <f t="shared" si="50"/>
        <v>50</v>
      </c>
      <c r="EI61" s="3">
        <v>6000</v>
      </c>
      <c r="EJ61" s="7">
        <f t="shared" si="124"/>
        <v>300000</v>
      </c>
      <c r="EK61" s="2" t="s">
        <v>157</v>
      </c>
      <c r="EL61" s="13">
        <f t="shared" si="149"/>
        <v>0</v>
      </c>
      <c r="EM61" s="3">
        <v>3000</v>
      </c>
      <c r="EN61" s="3">
        <f t="shared" si="27"/>
        <v>0</v>
      </c>
      <c r="EO61" s="3" t="s">
        <v>126</v>
      </c>
      <c r="EP61" s="3">
        <f t="shared" si="52"/>
        <v>100</v>
      </c>
      <c r="EQ61" s="3">
        <v>1000</v>
      </c>
      <c r="ER61" s="7">
        <f t="shared" si="53"/>
        <v>100000</v>
      </c>
      <c r="ES61" s="3" t="s">
        <v>124</v>
      </c>
      <c r="ET61" s="2">
        <v>1</v>
      </c>
      <c r="EU61" s="3">
        <v>60000</v>
      </c>
      <c r="EV61" s="3">
        <f t="shared" si="28"/>
        <v>60000</v>
      </c>
      <c r="EW61" s="3" t="s">
        <v>124</v>
      </c>
      <c r="EX61" s="13"/>
      <c r="EY61" s="3">
        <v>60000</v>
      </c>
      <c r="EZ61" s="3">
        <f t="shared" si="29"/>
        <v>0</v>
      </c>
      <c r="FA61" s="3" t="s">
        <v>170</v>
      </c>
      <c r="FB61" s="14"/>
      <c r="FC61" s="3">
        <v>1000</v>
      </c>
      <c r="FD61" s="3">
        <f t="shared" si="30"/>
        <v>0</v>
      </c>
      <c r="FE61" s="3" t="s">
        <v>126</v>
      </c>
      <c r="FF61" s="3">
        <f t="shared" si="54"/>
        <v>0</v>
      </c>
      <c r="FG61" s="3">
        <v>6000</v>
      </c>
      <c r="FH61" s="3">
        <f t="shared" si="31"/>
        <v>0</v>
      </c>
      <c r="FI61" s="1">
        <f t="shared" si="32"/>
        <v>735000</v>
      </c>
      <c r="FJ61" s="3" t="s">
        <v>139</v>
      </c>
      <c r="FK61" s="2">
        <v>40</v>
      </c>
      <c r="FL61" s="2">
        <v>6000</v>
      </c>
      <c r="FM61" s="3">
        <f t="shared" si="33"/>
        <v>240000</v>
      </c>
      <c r="FN61" s="3" t="s">
        <v>139</v>
      </c>
      <c r="FO61" s="2"/>
      <c r="FP61" s="3">
        <v>6000</v>
      </c>
      <c r="FQ61" s="3">
        <f t="shared" si="55"/>
        <v>0</v>
      </c>
      <c r="FR61" s="3" t="s">
        <v>139</v>
      </c>
      <c r="FS61" s="13"/>
      <c r="FT61" s="15">
        <v>6000</v>
      </c>
      <c r="FU61" s="3">
        <f t="shared" si="34"/>
        <v>0</v>
      </c>
      <c r="FV61" s="3" t="s">
        <v>139</v>
      </c>
      <c r="FW61" s="14"/>
      <c r="FX61" s="3">
        <v>8000</v>
      </c>
      <c r="FY61" s="3">
        <f t="shared" si="35"/>
        <v>0</v>
      </c>
      <c r="FZ61" s="3" t="s">
        <v>139</v>
      </c>
      <c r="GA61" s="3">
        <v>2</v>
      </c>
      <c r="GB61" s="3">
        <v>8000</v>
      </c>
      <c r="GC61" s="3">
        <f t="shared" si="36"/>
        <v>16000</v>
      </c>
      <c r="GD61" s="3" t="s">
        <v>139</v>
      </c>
      <c r="GE61" s="3">
        <v>10</v>
      </c>
      <c r="GF61" s="3">
        <v>10000</v>
      </c>
      <c r="GG61" s="3">
        <f t="shared" si="37"/>
        <v>100000</v>
      </c>
      <c r="GH61" s="3" t="s">
        <v>139</v>
      </c>
      <c r="GI61" s="13"/>
      <c r="GJ61" s="13"/>
      <c r="GK61" s="3">
        <f t="shared" si="38"/>
        <v>0</v>
      </c>
      <c r="GL61" s="92">
        <f t="shared" si="39"/>
        <v>356000</v>
      </c>
      <c r="GM61" s="8">
        <f t="shared" si="40"/>
        <v>2181000</v>
      </c>
      <c r="GN61" s="8">
        <f t="shared" si="41"/>
        <v>600</v>
      </c>
      <c r="GO61" s="101">
        <v>4200</v>
      </c>
      <c r="GP61" s="8">
        <f t="shared" si="56"/>
        <v>2520000</v>
      </c>
      <c r="GQ61" s="8">
        <f t="shared" si="42"/>
        <v>8400000</v>
      </c>
      <c r="GR61" s="8">
        <f t="shared" si="43"/>
        <v>339000</v>
      </c>
      <c r="GS61" s="8">
        <f t="shared" si="44"/>
        <v>6219000</v>
      </c>
      <c r="GT61" s="15" t="s">
        <v>1797</v>
      </c>
      <c r="GU61" s="47" t="s">
        <v>1796</v>
      </c>
    </row>
    <row r="62" spans="1:203" s="26" customFormat="1" ht="158.25" customHeight="1">
      <c r="A62" s="44">
        <v>63</v>
      </c>
      <c r="B62" s="23" t="s">
        <v>806</v>
      </c>
      <c r="C62" s="13" t="s">
        <v>807</v>
      </c>
      <c r="D62" s="15" t="s">
        <v>1024</v>
      </c>
      <c r="E62" s="13" t="s">
        <v>1044</v>
      </c>
      <c r="F62" s="13" t="s">
        <v>1025</v>
      </c>
      <c r="G62" s="15" t="s">
        <v>1026</v>
      </c>
      <c r="H62" s="13" t="s">
        <v>45</v>
      </c>
      <c r="I62" s="15" t="s">
        <v>1027</v>
      </c>
      <c r="J62" s="13" t="s">
        <v>1028</v>
      </c>
      <c r="K62" s="13" t="s">
        <v>808</v>
      </c>
      <c r="L62" s="15" t="s">
        <v>1029</v>
      </c>
      <c r="M62" s="15" t="s">
        <v>1030</v>
      </c>
      <c r="N62" s="15" t="s">
        <v>1031</v>
      </c>
      <c r="O62" s="15" t="s">
        <v>1032</v>
      </c>
      <c r="P62" s="15" t="s">
        <v>1033</v>
      </c>
      <c r="Q62" s="13" t="s">
        <v>997</v>
      </c>
      <c r="R62" s="15">
        <v>2</v>
      </c>
      <c r="S62" s="15">
        <v>3</v>
      </c>
      <c r="T62" s="13">
        <v>70000</v>
      </c>
      <c r="U62" s="15">
        <v>60</v>
      </c>
      <c r="V62" s="15">
        <v>80</v>
      </c>
      <c r="W62" s="15" t="s">
        <v>1034</v>
      </c>
      <c r="X62" s="15">
        <v>7</v>
      </c>
      <c r="Y62" s="15">
        <v>15</v>
      </c>
      <c r="Z62" s="15" t="s">
        <v>1035</v>
      </c>
      <c r="AA62" s="15" t="s">
        <v>1036</v>
      </c>
      <c r="AB62" s="15" t="s">
        <v>1037</v>
      </c>
      <c r="AC62" s="3">
        <v>50000</v>
      </c>
      <c r="AD62" s="13">
        <v>10</v>
      </c>
      <c r="AE62" s="13"/>
      <c r="AF62" s="3">
        <v>80000</v>
      </c>
      <c r="AG62" s="3">
        <f t="shared" si="45"/>
        <v>500000</v>
      </c>
      <c r="AH62" s="15" t="s">
        <v>1038</v>
      </c>
      <c r="AI62" s="13">
        <v>200</v>
      </c>
      <c r="AJ62" s="15">
        <v>1000</v>
      </c>
      <c r="AK62" s="13">
        <v>200</v>
      </c>
      <c r="AL62" s="15">
        <v>6000</v>
      </c>
      <c r="AM62" s="15">
        <v>100</v>
      </c>
      <c r="AN62" s="15">
        <v>3000</v>
      </c>
      <c r="AO62" s="42"/>
      <c r="AP62" s="15">
        <v>6000</v>
      </c>
      <c r="AQ62" s="2">
        <f t="shared" si="0"/>
        <v>1700000</v>
      </c>
      <c r="AR62" s="15" t="s">
        <v>1040</v>
      </c>
      <c r="AS62" s="15" t="s">
        <v>1039</v>
      </c>
      <c r="AT62" s="2" t="s">
        <v>139</v>
      </c>
      <c r="AU62" s="36"/>
      <c r="AV62" s="3">
        <v>6000</v>
      </c>
      <c r="AW62" s="2">
        <f t="shared" si="134"/>
        <v>0</v>
      </c>
      <c r="AX62" s="3" t="s">
        <v>139</v>
      </c>
      <c r="AY62" s="13"/>
      <c r="AZ62" s="3">
        <v>6000</v>
      </c>
      <c r="BA62" s="3">
        <f t="shared" ref="BA62:BA92" si="164">AY62*AZ62</f>
        <v>0</v>
      </c>
      <c r="BB62" s="3" t="s">
        <v>139</v>
      </c>
      <c r="BC62" s="34"/>
      <c r="BD62" s="3">
        <v>6000</v>
      </c>
      <c r="BE62" s="3">
        <f t="shared" ref="BE62:BE92" si="165">BC62*BD62</f>
        <v>0</v>
      </c>
      <c r="BF62" s="3" t="s">
        <v>125</v>
      </c>
      <c r="BG62" s="3"/>
      <c r="BH62" s="3">
        <v>6000</v>
      </c>
      <c r="BI62" s="3">
        <f t="shared" si="162"/>
        <v>0</v>
      </c>
      <c r="BJ62" s="13" t="s">
        <v>20</v>
      </c>
      <c r="BK62" s="14"/>
      <c r="BL62" s="3">
        <v>1000</v>
      </c>
      <c r="BM62" s="3">
        <f t="shared" si="62"/>
        <v>0</v>
      </c>
      <c r="BN62" s="2" t="s">
        <v>126</v>
      </c>
      <c r="BO62" s="13"/>
      <c r="BP62" s="2">
        <v>3000</v>
      </c>
      <c r="BQ62" s="13"/>
      <c r="BR62" s="2" t="s">
        <v>126</v>
      </c>
      <c r="BS62" s="13"/>
      <c r="BT62" s="2">
        <f>6000</f>
        <v>6000</v>
      </c>
      <c r="BU62" s="3">
        <f t="shared" si="135"/>
        <v>0</v>
      </c>
      <c r="BV62" s="2" t="s">
        <v>126</v>
      </c>
      <c r="BW62" s="2"/>
      <c r="BX62" s="2">
        <v>6000</v>
      </c>
      <c r="BY62" s="3">
        <f t="shared" si="136"/>
        <v>0</v>
      </c>
      <c r="BZ62" s="92">
        <f t="shared" si="146"/>
        <v>0</v>
      </c>
      <c r="CA62" s="2" t="s">
        <v>139</v>
      </c>
      <c r="CB62" s="3">
        <v>5</v>
      </c>
      <c r="CC62" s="3">
        <v>8000</v>
      </c>
      <c r="CD62" s="3">
        <f t="shared" si="10"/>
        <v>40000</v>
      </c>
      <c r="CE62" s="2" t="s">
        <v>139</v>
      </c>
      <c r="CF62" s="2">
        <v>30</v>
      </c>
      <c r="CG62" s="2">
        <v>6000</v>
      </c>
      <c r="CH62" s="3">
        <f t="shared" si="11"/>
        <v>180000</v>
      </c>
      <c r="CI62" s="3" t="s">
        <v>139</v>
      </c>
      <c r="CJ62" s="3">
        <v>1</v>
      </c>
      <c r="CK62" s="13"/>
      <c r="CL62" s="3">
        <f t="shared" ref="CL62:CL94" si="166">CJ62*CK62</f>
        <v>0</v>
      </c>
      <c r="CM62" s="5">
        <f t="shared" ref="CM62:CM94" si="167">CD62+CH62+CL62</f>
        <v>220000</v>
      </c>
      <c r="CN62" s="3" t="s">
        <v>125</v>
      </c>
      <c r="CO62" s="3">
        <v>0</v>
      </c>
      <c r="CP62" s="3">
        <v>6000</v>
      </c>
      <c r="CQ62" s="3">
        <f t="shared" si="154"/>
        <v>0</v>
      </c>
      <c r="CR62" s="3" t="s">
        <v>125</v>
      </c>
      <c r="CS62" s="3">
        <v>75</v>
      </c>
      <c r="CT62" s="3">
        <v>6000</v>
      </c>
      <c r="CU62" s="3">
        <f t="shared" si="155"/>
        <v>450000</v>
      </c>
      <c r="CV62" s="3" t="s">
        <v>125</v>
      </c>
      <c r="CW62" s="3">
        <v>30</v>
      </c>
      <c r="CX62" s="3">
        <v>6000</v>
      </c>
      <c r="CY62" s="3">
        <f t="shared" si="156"/>
        <v>180000</v>
      </c>
      <c r="CZ62" s="3" t="s">
        <v>125</v>
      </c>
      <c r="DA62" s="3">
        <v>15</v>
      </c>
      <c r="DB62" s="3">
        <v>6000</v>
      </c>
      <c r="DC62" s="3">
        <f t="shared" si="157"/>
        <v>90000</v>
      </c>
      <c r="DD62" s="3" t="s">
        <v>125</v>
      </c>
      <c r="DE62" s="3">
        <v>5</v>
      </c>
      <c r="DF62" s="3">
        <v>6000</v>
      </c>
      <c r="DG62" s="3">
        <f t="shared" si="163"/>
        <v>30000</v>
      </c>
      <c r="DH62" s="3" t="s">
        <v>125</v>
      </c>
      <c r="DI62" s="3">
        <v>100</v>
      </c>
      <c r="DJ62" s="3">
        <v>6000</v>
      </c>
      <c r="DK62" s="3">
        <f t="shared" si="158"/>
        <v>600000</v>
      </c>
      <c r="DL62" s="3" t="s">
        <v>125</v>
      </c>
      <c r="DM62" s="3"/>
      <c r="DN62" s="3">
        <v>6000</v>
      </c>
      <c r="DO62" s="3">
        <f t="shared" si="159"/>
        <v>0</v>
      </c>
      <c r="DP62" s="3" t="s">
        <v>125</v>
      </c>
      <c r="DQ62" s="3"/>
      <c r="DR62" s="3">
        <v>6000</v>
      </c>
      <c r="DS62" s="3">
        <f t="shared" si="160"/>
        <v>0</v>
      </c>
      <c r="DT62" s="6">
        <f t="shared" si="161"/>
        <v>1350000</v>
      </c>
      <c r="DU62" s="2" t="s">
        <v>157</v>
      </c>
      <c r="DV62" s="3">
        <f t="shared" si="46"/>
        <v>2</v>
      </c>
      <c r="DW62" s="3">
        <f t="shared" si="47"/>
        <v>70000</v>
      </c>
      <c r="DX62" s="3">
        <f t="shared" ref="DX62:DX94" si="168">DV62*DW62</f>
        <v>140000</v>
      </c>
      <c r="DY62" s="3" t="s">
        <v>127</v>
      </c>
      <c r="DZ62" s="3">
        <f t="shared" si="48"/>
        <v>10</v>
      </c>
      <c r="EA62" s="2">
        <v>50000</v>
      </c>
      <c r="EB62" s="3">
        <f t="shared" ref="EB62:EB94" si="169">DZ62*EA62</f>
        <v>500000</v>
      </c>
      <c r="EC62" s="2" t="s">
        <v>127</v>
      </c>
      <c r="ED62" s="3">
        <f t="shared" si="49"/>
        <v>0</v>
      </c>
      <c r="EE62" s="3">
        <v>80000</v>
      </c>
      <c r="EF62" s="3">
        <f t="shared" ref="EF62:EF94" si="170">ED62*EE62</f>
        <v>0</v>
      </c>
      <c r="EG62" s="2" t="s">
        <v>157</v>
      </c>
      <c r="EH62" s="3">
        <f t="shared" si="50"/>
        <v>200</v>
      </c>
      <c r="EI62" s="3">
        <v>6000</v>
      </c>
      <c r="EJ62" s="7">
        <f t="shared" si="124"/>
        <v>1200000</v>
      </c>
      <c r="EK62" s="2" t="s">
        <v>157</v>
      </c>
      <c r="EL62" s="13">
        <f t="shared" si="149"/>
        <v>100</v>
      </c>
      <c r="EM62" s="3">
        <v>3000</v>
      </c>
      <c r="EN62" s="3">
        <f t="shared" ref="EN62:EN94" si="171">EL62*EM62</f>
        <v>300000</v>
      </c>
      <c r="EO62" s="3" t="s">
        <v>126</v>
      </c>
      <c r="EP62" s="3">
        <f t="shared" si="52"/>
        <v>200</v>
      </c>
      <c r="EQ62" s="3">
        <v>1000</v>
      </c>
      <c r="ER62" s="7">
        <f t="shared" si="53"/>
        <v>200000</v>
      </c>
      <c r="ES62" s="3" t="s">
        <v>124</v>
      </c>
      <c r="ET62" s="2">
        <v>1</v>
      </c>
      <c r="EU62" s="3">
        <v>60000</v>
      </c>
      <c r="EV62" s="3">
        <f t="shared" ref="EV62:EV94" si="172">ET62*EU62</f>
        <v>60000</v>
      </c>
      <c r="EW62" s="3" t="s">
        <v>124</v>
      </c>
      <c r="EX62" s="13"/>
      <c r="EY62" s="3">
        <v>60000</v>
      </c>
      <c r="EZ62" s="3">
        <f t="shared" ref="EZ62:EZ94" si="173">EX62*EY62</f>
        <v>0</v>
      </c>
      <c r="FA62" s="3" t="s">
        <v>170</v>
      </c>
      <c r="FB62" s="14"/>
      <c r="FC62" s="3">
        <v>1000</v>
      </c>
      <c r="FD62" s="3">
        <f t="shared" ref="FD62:FD94" si="174">FB62*FC62</f>
        <v>0</v>
      </c>
      <c r="FE62" s="3" t="s">
        <v>126</v>
      </c>
      <c r="FF62" s="3">
        <f t="shared" si="54"/>
        <v>0</v>
      </c>
      <c r="FG62" s="3">
        <v>6000</v>
      </c>
      <c r="FH62" s="3">
        <f t="shared" ref="FH62:FH94" si="175">FF62*FG62</f>
        <v>0</v>
      </c>
      <c r="FI62" s="1">
        <f t="shared" ref="FI62:FI94" si="176">DX62+EB62+EF62+EJ62+EN62+ER62+EZ62+EV62+FD62+FH62</f>
        <v>2400000</v>
      </c>
      <c r="FJ62" s="3" t="s">
        <v>139</v>
      </c>
      <c r="FK62" s="2">
        <v>40</v>
      </c>
      <c r="FL62" s="2">
        <v>6000</v>
      </c>
      <c r="FM62" s="3">
        <f t="shared" ref="FM62:FM92" si="177">FK62*FL62</f>
        <v>240000</v>
      </c>
      <c r="FN62" s="3" t="s">
        <v>139</v>
      </c>
      <c r="FO62" s="2"/>
      <c r="FP62" s="3">
        <v>6000</v>
      </c>
      <c r="FQ62" s="3">
        <f t="shared" si="55"/>
        <v>0</v>
      </c>
      <c r="FR62" s="3" t="s">
        <v>139</v>
      </c>
      <c r="FS62" s="13"/>
      <c r="FT62" s="15">
        <v>6000</v>
      </c>
      <c r="FU62" s="3">
        <f t="shared" ref="FU62:FU92" si="178">FS62*FT62</f>
        <v>0</v>
      </c>
      <c r="FV62" s="3" t="s">
        <v>139</v>
      </c>
      <c r="FW62" s="14"/>
      <c r="FX62" s="3">
        <v>8000</v>
      </c>
      <c r="FY62" s="3">
        <f t="shared" ref="FY62:FY92" si="179">FW62*FX62</f>
        <v>0</v>
      </c>
      <c r="FZ62" s="3" t="s">
        <v>139</v>
      </c>
      <c r="GA62" s="3">
        <v>2</v>
      </c>
      <c r="GB62" s="3">
        <v>8000</v>
      </c>
      <c r="GC62" s="3">
        <f t="shared" ref="GC62:GC92" si="180">GA62*GB62</f>
        <v>16000</v>
      </c>
      <c r="GD62" s="3" t="s">
        <v>139</v>
      </c>
      <c r="GE62" s="3">
        <v>10</v>
      </c>
      <c r="GF62" s="3">
        <v>10000</v>
      </c>
      <c r="GG62" s="3">
        <f t="shared" ref="GG62:GG92" si="181">GE62*GF62</f>
        <v>100000</v>
      </c>
      <c r="GH62" s="3" t="s">
        <v>139</v>
      </c>
      <c r="GI62" s="13"/>
      <c r="GJ62" s="13"/>
      <c r="GK62" s="3">
        <f t="shared" ref="GK62:GK92" si="182">GI62*GJ62</f>
        <v>0</v>
      </c>
      <c r="GL62" s="92">
        <f t="shared" ref="GL62:GL92" si="183">FM62+FQ62+FU62+FY62+GC62+GG62+GK62</f>
        <v>356000</v>
      </c>
      <c r="GM62" s="8">
        <f t="shared" ref="GM62:GM87" si="184">BZ62+CM62+DT62+FI62+GL62</f>
        <v>4326000</v>
      </c>
      <c r="GN62" s="8">
        <f t="shared" ref="GN62:GN94" si="185">X62*1000</f>
        <v>7000</v>
      </c>
      <c r="GO62" s="101">
        <v>3000</v>
      </c>
      <c r="GP62" s="8">
        <f t="shared" si="56"/>
        <v>21000000</v>
      </c>
      <c r="GQ62" s="8">
        <f t="shared" ref="GQ62:GQ94" si="186">(GO62*Y62*1000)</f>
        <v>45000000</v>
      </c>
      <c r="GR62" s="8">
        <f t="shared" ref="GR62:GR96" si="187">GP62-GM62</f>
        <v>16674000</v>
      </c>
      <c r="GS62" s="8">
        <f t="shared" ref="GS62:GS97" si="188">GQ62-GM62</f>
        <v>40674000</v>
      </c>
      <c r="GT62" s="15" t="s">
        <v>1799</v>
      </c>
      <c r="GU62" s="47" t="s">
        <v>1798</v>
      </c>
    </row>
    <row r="63" spans="1:203" s="51" customFormat="1" ht="158.25" customHeight="1">
      <c r="A63" s="44">
        <v>64</v>
      </c>
      <c r="B63" s="22" t="s">
        <v>809</v>
      </c>
      <c r="C63" s="15" t="s">
        <v>1041</v>
      </c>
      <c r="D63" s="15" t="s">
        <v>1042</v>
      </c>
      <c r="E63" s="13" t="s">
        <v>1043</v>
      </c>
      <c r="F63" s="15" t="s">
        <v>1045</v>
      </c>
      <c r="G63" s="15" t="s">
        <v>1046</v>
      </c>
      <c r="H63" s="13" t="s">
        <v>88</v>
      </c>
      <c r="I63" s="15" t="s">
        <v>842</v>
      </c>
      <c r="J63" s="15" t="s">
        <v>1047</v>
      </c>
      <c r="K63" s="15" t="s">
        <v>804</v>
      </c>
      <c r="L63" s="15" t="s">
        <v>1048</v>
      </c>
      <c r="M63" s="15" t="s">
        <v>1049</v>
      </c>
      <c r="N63" s="15" t="s">
        <v>1050</v>
      </c>
      <c r="O63" s="20" t="s">
        <v>1051</v>
      </c>
      <c r="P63" s="13" t="s">
        <v>1052</v>
      </c>
      <c r="Q63" s="13" t="s">
        <v>997</v>
      </c>
      <c r="R63" s="15">
        <v>2</v>
      </c>
      <c r="S63" s="15">
        <v>4</v>
      </c>
      <c r="T63" s="13">
        <v>75000</v>
      </c>
      <c r="U63" s="13">
        <v>45</v>
      </c>
      <c r="V63" s="13">
        <v>60</v>
      </c>
      <c r="W63" s="7" t="s">
        <v>1059</v>
      </c>
      <c r="X63" s="15">
        <v>12</v>
      </c>
      <c r="Y63" s="15">
        <v>20</v>
      </c>
      <c r="Z63" s="15" t="s">
        <v>1053</v>
      </c>
      <c r="AA63" s="15" t="s">
        <v>1054</v>
      </c>
      <c r="AB63" s="7" t="s">
        <v>1055</v>
      </c>
      <c r="AC63" s="3">
        <v>50000</v>
      </c>
      <c r="AD63" s="14">
        <v>10</v>
      </c>
      <c r="AE63" s="14"/>
      <c r="AF63" s="3">
        <v>80000</v>
      </c>
      <c r="AG63" s="3">
        <f t="shared" si="45"/>
        <v>500000</v>
      </c>
      <c r="AH63" s="15" t="s">
        <v>1056</v>
      </c>
      <c r="AI63" s="13">
        <v>200</v>
      </c>
      <c r="AJ63" s="15">
        <v>1000</v>
      </c>
      <c r="AK63" s="16">
        <v>200</v>
      </c>
      <c r="AL63" s="15">
        <v>6000</v>
      </c>
      <c r="AM63" s="15">
        <v>100</v>
      </c>
      <c r="AN63" s="15">
        <v>3000</v>
      </c>
      <c r="AO63" s="42"/>
      <c r="AP63" s="15">
        <v>6000</v>
      </c>
      <c r="AQ63" s="2">
        <f t="shared" si="0"/>
        <v>1700000</v>
      </c>
      <c r="AR63" s="7" t="s">
        <v>1057</v>
      </c>
      <c r="AS63" s="15" t="s">
        <v>1058</v>
      </c>
      <c r="AT63" s="2" t="s">
        <v>139</v>
      </c>
      <c r="AU63" s="36"/>
      <c r="AV63" s="3">
        <v>6000</v>
      </c>
      <c r="AW63" s="2">
        <f t="shared" si="134"/>
        <v>0</v>
      </c>
      <c r="AX63" s="3" t="s">
        <v>139</v>
      </c>
      <c r="AY63" s="13"/>
      <c r="AZ63" s="3">
        <v>6000</v>
      </c>
      <c r="BA63" s="3">
        <f t="shared" si="164"/>
        <v>0</v>
      </c>
      <c r="BB63" s="3" t="s">
        <v>139</v>
      </c>
      <c r="BC63" s="34"/>
      <c r="BD63" s="3">
        <v>6000</v>
      </c>
      <c r="BE63" s="3">
        <f t="shared" si="165"/>
        <v>0</v>
      </c>
      <c r="BF63" s="3" t="s">
        <v>125</v>
      </c>
      <c r="BG63" s="3"/>
      <c r="BH63" s="3">
        <v>6000</v>
      </c>
      <c r="BI63" s="3">
        <f t="shared" si="162"/>
        <v>0</v>
      </c>
      <c r="BJ63" s="13" t="s">
        <v>20</v>
      </c>
      <c r="BK63" s="14"/>
      <c r="BL63" s="3">
        <v>1000</v>
      </c>
      <c r="BM63" s="3">
        <f t="shared" si="62"/>
        <v>0</v>
      </c>
      <c r="BN63" s="2" t="s">
        <v>126</v>
      </c>
      <c r="BO63" s="13"/>
      <c r="BP63" s="2">
        <v>3000</v>
      </c>
      <c r="BQ63" s="13"/>
      <c r="BR63" s="2" t="s">
        <v>126</v>
      </c>
      <c r="BS63" s="13"/>
      <c r="BT63" s="2">
        <f>6000</f>
        <v>6000</v>
      </c>
      <c r="BU63" s="3">
        <f t="shared" si="135"/>
        <v>0</v>
      </c>
      <c r="BV63" s="2" t="s">
        <v>126</v>
      </c>
      <c r="BW63" s="2"/>
      <c r="BX63" s="2">
        <v>6000</v>
      </c>
      <c r="BY63" s="3">
        <f t="shared" si="136"/>
        <v>0</v>
      </c>
      <c r="BZ63" s="92">
        <f t="shared" si="146"/>
        <v>0</v>
      </c>
      <c r="CA63" s="2" t="s">
        <v>139</v>
      </c>
      <c r="CB63" s="3">
        <v>5</v>
      </c>
      <c r="CC63" s="3">
        <v>8000</v>
      </c>
      <c r="CD63" s="3">
        <f t="shared" si="10"/>
        <v>40000</v>
      </c>
      <c r="CE63" s="2" t="s">
        <v>139</v>
      </c>
      <c r="CF63" s="2">
        <v>30</v>
      </c>
      <c r="CG63" s="2">
        <v>6000</v>
      </c>
      <c r="CH63" s="3">
        <f t="shared" si="11"/>
        <v>180000</v>
      </c>
      <c r="CI63" s="3" t="s">
        <v>139</v>
      </c>
      <c r="CJ63" s="3">
        <v>1</v>
      </c>
      <c r="CK63" s="13"/>
      <c r="CL63" s="3">
        <f t="shared" si="166"/>
        <v>0</v>
      </c>
      <c r="CM63" s="5">
        <f t="shared" si="167"/>
        <v>220000</v>
      </c>
      <c r="CN63" s="3" t="s">
        <v>125</v>
      </c>
      <c r="CO63" s="3">
        <v>0</v>
      </c>
      <c r="CP63" s="3">
        <v>6000</v>
      </c>
      <c r="CQ63" s="3">
        <f t="shared" si="154"/>
        <v>0</v>
      </c>
      <c r="CR63" s="3" t="s">
        <v>125</v>
      </c>
      <c r="CS63" s="3">
        <v>75</v>
      </c>
      <c r="CT63" s="3">
        <v>6000</v>
      </c>
      <c r="CU63" s="3">
        <f t="shared" si="155"/>
        <v>450000</v>
      </c>
      <c r="CV63" s="3" t="s">
        <v>125</v>
      </c>
      <c r="CW63" s="3">
        <v>30</v>
      </c>
      <c r="CX63" s="3">
        <v>6000</v>
      </c>
      <c r="CY63" s="3">
        <f t="shared" si="156"/>
        <v>180000</v>
      </c>
      <c r="CZ63" s="3" t="s">
        <v>125</v>
      </c>
      <c r="DA63" s="3">
        <v>15</v>
      </c>
      <c r="DB63" s="3">
        <v>6000</v>
      </c>
      <c r="DC63" s="3">
        <f t="shared" si="157"/>
        <v>90000</v>
      </c>
      <c r="DD63" s="3" t="s">
        <v>125</v>
      </c>
      <c r="DE63" s="3">
        <v>5</v>
      </c>
      <c r="DF63" s="3">
        <v>6000</v>
      </c>
      <c r="DG63" s="3">
        <f t="shared" si="163"/>
        <v>30000</v>
      </c>
      <c r="DH63" s="3" t="s">
        <v>125</v>
      </c>
      <c r="DI63" s="3">
        <v>100</v>
      </c>
      <c r="DJ63" s="3">
        <v>6000</v>
      </c>
      <c r="DK63" s="3">
        <f t="shared" si="158"/>
        <v>600000</v>
      </c>
      <c r="DL63" s="3" t="s">
        <v>125</v>
      </c>
      <c r="DM63" s="3"/>
      <c r="DN63" s="3">
        <v>6000</v>
      </c>
      <c r="DO63" s="3">
        <f t="shared" si="159"/>
        <v>0</v>
      </c>
      <c r="DP63" s="3" t="s">
        <v>125</v>
      </c>
      <c r="DQ63" s="3"/>
      <c r="DR63" s="3">
        <v>6000</v>
      </c>
      <c r="DS63" s="3">
        <f t="shared" si="160"/>
        <v>0</v>
      </c>
      <c r="DT63" s="6">
        <f t="shared" si="161"/>
        <v>1350000</v>
      </c>
      <c r="DU63" s="2" t="s">
        <v>157</v>
      </c>
      <c r="DV63" s="3">
        <f t="shared" ref="DV63:DV87" si="189">R63</f>
        <v>2</v>
      </c>
      <c r="DW63" s="3">
        <f t="shared" ref="DW63:DW94" si="190">T63</f>
        <v>75000</v>
      </c>
      <c r="DX63" s="3">
        <f t="shared" si="168"/>
        <v>150000</v>
      </c>
      <c r="DY63" s="3" t="s">
        <v>127</v>
      </c>
      <c r="DZ63" s="3">
        <f t="shared" ref="DZ63:DZ94" si="191">AD63</f>
        <v>10</v>
      </c>
      <c r="EA63" s="2">
        <v>50000</v>
      </c>
      <c r="EB63" s="3">
        <f t="shared" si="169"/>
        <v>500000</v>
      </c>
      <c r="EC63" s="2" t="s">
        <v>127</v>
      </c>
      <c r="ED63" s="3">
        <f t="shared" ref="ED63:ED94" si="192">AE63</f>
        <v>0</v>
      </c>
      <c r="EE63" s="3">
        <v>80000</v>
      </c>
      <c r="EF63" s="3">
        <f t="shared" si="170"/>
        <v>0</v>
      </c>
      <c r="EG63" s="2" t="s">
        <v>157</v>
      </c>
      <c r="EH63" s="3">
        <f t="shared" ref="EH63:EH94" si="193">AK63</f>
        <v>200</v>
      </c>
      <c r="EI63" s="3">
        <v>6000</v>
      </c>
      <c r="EJ63" s="7">
        <f t="shared" si="124"/>
        <v>1200000</v>
      </c>
      <c r="EK63" s="2" t="s">
        <v>157</v>
      </c>
      <c r="EL63" s="13">
        <f t="shared" si="149"/>
        <v>100</v>
      </c>
      <c r="EM63" s="3">
        <v>3000</v>
      </c>
      <c r="EN63" s="3">
        <f t="shared" si="171"/>
        <v>300000</v>
      </c>
      <c r="EO63" s="3" t="s">
        <v>126</v>
      </c>
      <c r="EP63" s="3">
        <f t="shared" ref="EP63:EP94" si="194">AI63</f>
        <v>200</v>
      </c>
      <c r="EQ63" s="3">
        <v>1000</v>
      </c>
      <c r="ER63" s="7">
        <f t="shared" ref="ER63:ER94" si="195">EP63*EQ63</f>
        <v>200000</v>
      </c>
      <c r="ES63" s="3" t="s">
        <v>124</v>
      </c>
      <c r="ET63" s="2">
        <v>1</v>
      </c>
      <c r="EU63" s="3">
        <v>60000</v>
      </c>
      <c r="EV63" s="3">
        <f t="shared" si="172"/>
        <v>60000</v>
      </c>
      <c r="EW63" s="3" t="s">
        <v>124</v>
      </c>
      <c r="EX63" s="13"/>
      <c r="EY63" s="3">
        <v>60000</v>
      </c>
      <c r="EZ63" s="3">
        <f t="shared" si="173"/>
        <v>0</v>
      </c>
      <c r="FA63" s="3" t="s">
        <v>170</v>
      </c>
      <c r="FB63" s="14"/>
      <c r="FC63" s="3">
        <v>1000</v>
      </c>
      <c r="FD63" s="3">
        <f t="shared" si="174"/>
        <v>0</v>
      </c>
      <c r="FE63" s="3" t="s">
        <v>126</v>
      </c>
      <c r="FF63" s="3">
        <f t="shared" ref="FF63:FF94" si="196">AO63</f>
        <v>0</v>
      </c>
      <c r="FG63" s="3">
        <v>6000</v>
      </c>
      <c r="FH63" s="3">
        <f t="shared" si="175"/>
        <v>0</v>
      </c>
      <c r="FI63" s="1">
        <f t="shared" si="176"/>
        <v>2410000</v>
      </c>
      <c r="FJ63" s="3" t="s">
        <v>139</v>
      </c>
      <c r="FK63" s="2">
        <v>40</v>
      </c>
      <c r="FL63" s="2">
        <v>6000</v>
      </c>
      <c r="FM63" s="3">
        <f t="shared" si="177"/>
        <v>240000</v>
      </c>
      <c r="FN63" s="3" t="s">
        <v>139</v>
      </c>
      <c r="FO63" s="2"/>
      <c r="FP63" s="3">
        <v>6000</v>
      </c>
      <c r="FQ63" s="3">
        <f t="shared" ref="FQ63:FQ92" si="197">FO63*FP63</f>
        <v>0</v>
      </c>
      <c r="FR63" s="3" t="s">
        <v>139</v>
      </c>
      <c r="FS63" s="13"/>
      <c r="FT63" s="15">
        <v>6000</v>
      </c>
      <c r="FU63" s="3">
        <f t="shared" si="178"/>
        <v>0</v>
      </c>
      <c r="FV63" s="3" t="s">
        <v>139</v>
      </c>
      <c r="FW63" s="14"/>
      <c r="FX63" s="3">
        <v>8000</v>
      </c>
      <c r="FY63" s="3">
        <f t="shared" si="179"/>
        <v>0</v>
      </c>
      <c r="FZ63" s="3" t="s">
        <v>139</v>
      </c>
      <c r="GA63" s="3">
        <v>2</v>
      </c>
      <c r="GB63" s="3">
        <v>8000</v>
      </c>
      <c r="GC63" s="3">
        <f t="shared" si="180"/>
        <v>16000</v>
      </c>
      <c r="GD63" s="3" t="s">
        <v>139</v>
      </c>
      <c r="GE63" s="3">
        <v>10</v>
      </c>
      <c r="GF63" s="3">
        <v>10000</v>
      </c>
      <c r="GG63" s="3">
        <f t="shared" si="181"/>
        <v>100000</v>
      </c>
      <c r="GH63" s="3" t="s">
        <v>139</v>
      </c>
      <c r="GI63" s="13"/>
      <c r="GJ63" s="13"/>
      <c r="GK63" s="3">
        <f t="shared" si="182"/>
        <v>0</v>
      </c>
      <c r="GL63" s="92">
        <f t="shared" si="183"/>
        <v>356000</v>
      </c>
      <c r="GM63" s="8">
        <f t="shared" si="184"/>
        <v>4336000</v>
      </c>
      <c r="GN63" s="8">
        <f t="shared" si="185"/>
        <v>12000</v>
      </c>
      <c r="GO63" s="101">
        <v>2500</v>
      </c>
      <c r="GP63" s="8">
        <f t="shared" ref="GP63:GP94" si="198">GN63*GO63</f>
        <v>30000000</v>
      </c>
      <c r="GQ63" s="8">
        <f t="shared" si="186"/>
        <v>50000000</v>
      </c>
      <c r="GR63" s="8">
        <f t="shared" si="187"/>
        <v>25664000</v>
      </c>
      <c r="GS63" s="8">
        <f t="shared" si="188"/>
        <v>45664000</v>
      </c>
      <c r="GT63" s="15" t="s">
        <v>1801</v>
      </c>
      <c r="GU63" s="47" t="s">
        <v>1800</v>
      </c>
    </row>
    <row r="64" spans="1:203" s="51" customFormat="1" ht="158.25" customHeight="1">
      <c r="A64" s="44">
        <v>65</v>
      </c>
      <c r="B64" s="22" t="s">
        <v>810</v>
      </c>
      <c r="C64" s="15" t="s">
        <v>1060</v>
      </c>
      <c r="D64" s="15" t="s">
        <v>1064</v>
      </c>
      <c r="E64" s="15" t="s">
        <v>1065</v>
      </c>
      <c r="F64" s="15" t="s">
        <v>1065</v>
      </c>
      <c r="G64" s="15" t="s">
        <v>1067</v>
      </c>
      <c r="H64" s="14" t="s">
        <v>88</v>
      </c>
      <c r="I64" s="15" t="s">
        <v>1068</v>
      </c>
      <c r="J64" s="15" t="s">
        <v>1069</v>
      </c>
      <c r="K64" s="15" t="s">
        <v>1088</v>
      </c>
      <c r="L64" s="15" t="s">
        <v>1070</v>
      </c>
      <c r="M64" s="15" t="s">
        <v>1071</v>
      </c>
      <c r="N64" s="15" t="s">
        <v>1072</v>
      </c>
      <c r="O64" s="15" t="s">
        <v>1073</v>
      </c>
      <c r="P64" s="15" t="s">
        <v>1074</v>
      </c>
      <c r="Q64" s="13" t="s">
        <v>997</v>
      </c>
      <c r="R64" s="14">
        <v>0.15</v>
      </c>
      <c r="S64" s="13">
        <v>0.25</v>
      </c>
      <c r="T64" s="13">
        <v>200000</v>
      </c>
      <c r="U64" s="13">
        <v>90</v>
      </c>
      <c r="V64" s="13">
        <v>120</v>
      </c>
      <c r="W64" s="7" t="s">
        <v>1075</v>
      </c>
      <c r="X64" s="15">
        <v>6</v>
      </c>
      <c r="Y64" s="15">
        <v>15</v>
      </c>
      <c r="Z64" s="15" t="s">
        <v>1076</v>
      </c>
      <c r="AA64" s="15" t="s">
        <v>1080</v>
      </c>
      <c r="AB64" s="7" t="s">
        <v>1078</v>
      </c>
      <c r="AC64" s="3">
        <v>50000</v>
      </c>
      <c r="AD64" s="14">
        <v>10</v>
      </c>
      <c r="AE64" s="14"/>
      <c r="AF64" s="3">
        <v>80000</v>
      </c>
      <c r="AG64" s="3">
        <f t="shared" si="45"/>
        <v>500000</v>
      </c>
      <c r="AH64" s="7" t="s">
        <v>1079</v>
      </c>
      <c r="AI64" s="13"/>
      <c r="AJ64" s="15">
        <v>1000</v>
      </c>
      <c r="AK64" s="16">
        <v>100</v>
      </c>
      <c r="AL64" s="15">
        <v>6000</v>
      </c>
      <c r="AM64" s="15"/>
      <c r="AN64" s="15">
        <v>3000</v>
      </c>
      <c r="AO64" s="42">
        <v>100</v>
      </c>
      <c r="AP64" s="15">
        <v>6000</v>
      </c>
      <c r="AQ64" s="2">
        <f t="shared" ref="AQ64:AQ104" si="199">(AI64*AJ64)+(AK64*AL64)+(AM64*AN64)+(AO64*AP64)</f>
        <v>1200000</v>
      </c>
      <c r="AR64" s="7" t="s">
        <v>1081</v>
      </c>
      <c r="AS64" s="15" t="s">
        <v>1082</v>
      </c>
      <c r="AT64" s="2" t="s">
        <v>139</v>
      </c>
      <c r="AU64" s="36"/>
      <c r="AV64" s="3">
        <v>6000</v>
      </c>
      <c r="AW64" s="2">
        <f t="shared" si="134"/>
        <v>0</v>
      </c>
      <c r="AX64" s="3" t="s">
        <v>139</v>
      </c>
      <c r="AY64" s="13"/>
      <c r="AZ64" s="3">
        <v>6000</v>
      </c>
      <c r="BA64" s="3">
        <f t="shared" si="164"/>
        <v>0</v>
      </c>
      <c r="BB64" s="3" t="s">
        <v>139</v>
      </c>
      <c r="BC64" s="34"/>
      <c r="BD64" s="3">
        <v>6000</v>
      </c>
      <c r="BE64" s="3">
        <f t="shared" si="165"/>
        <v>0</v>
      </c>
      <c r="BF64" s="3" t="s">
        <v>125</v>
      </c>
      <c r="BG64" s="3"/>
      <c r="BH64" s="3">
        <v>6000</v>
      </c>
      <c r="BI64" s="3">
        <f t="shared" si="162"/>
        <v>0</v>
      </c>
      <c r="BJ64" s="13" t="s">
        <v>20</v>
      </c>
      <c r="BK64" s="14"/>
      <c r="BL64" s="3">
        <v>1000</v>
      </c>
      <c r="BM64" s="3">
        <f t="shared" si="62"/>
        <v>0</v>
      </c>
      <c r="BN64" s="2" t="s">
        <v>126</v>
      </c>
      <c r="BO64" s="13"/>
      <c r="BP64" s="2">
        <v>3000</v>
      </c>
      <c r="BQ64" s="13"/>
      <c r="BR64" s="2" t="s">
        <v>126</v>
      </c>
      <c r="BS64" s="13"/>
      <c r="BT64" s="2">
        <f>6000</f>
        <v>6000</v>
      </c>
      <c r="BU64" s="3">
        <f t="shared" si="135"/>
        <v>0</v>
      </c>
      <c r="BV64" s="2" t="s">
        <v>126</v>
      </c>
      <c r="BW64" s="2"/>
      <c r="BX64" s="2">
        <v>6000</v>
      </c>
      <c r="BY64" s="3">
        <f t="shared" si="136"/>
        <v>0</v>
      </c>
      <c r="BZ64" s="92">
        <f t="shared" si="146"/>
        <v>0</v>
      </c>
      <c r="CA64" s="2" t="s">
        <v>139</v>
      </c>
      <c r="CB64" s="3">
        <v>5</v>
      </c>
      <c r="CC64" s="3">
        <v>8000</v>
      </c>
      <c r="CD64" s="3">
        <f t="shared" ref="CD64:CD104" si="200">CB64*CC64</f>
        <v>40000</v>
      </c>
      <c r="CE64" s="2" t="s">
        <v>139</v>
      </c>
      <c r="CF64" s="2">
        <v>30</v>
      </c>
      <c r="CG64" s="2">
        <v>6000</v>
      </c>
      <c r="CH64" s="3">
        <f t="shared" ref="CH64:CH104" si="201">CF64*CG64</f>
        <v>180000</v>
      </c>
      <c r="CI64" s="3" t="s">
        <v>139</v>
      </c>
      <c r="CJ64" s="3">
        <v>1</v>
      </c>
      <c r="CK64" s="13"/>
      <c r="CL64" s="3">
        <f t="shared" si="166"/>
        <v>0</v>
      </c>
      <c r="CM64" s="5">
        <f t="shared" si="167"/>
        <v>220000</v>
      </c>
      <c r="CN64" s="3" t="s">
        <v>125</v>
      </c>
      <c r="CO64" s="3">
        <v>0</v>
      </c>
      <c r="CP64" s="3">
        <v>6000</v>
      </c>
      <c r="CQ64" s="3">
        <f t="shared" ref="CQ64" si="202">CO64*CP64</f>
        <v>0</v>
      </c>
      <c r="CR64" s="3" t="s">
        <v>125</v>
      </c>
      <c r="CS64" s="3">
        <v>75</v>
      </c>
      <c r="CT64" s="3">
        <v>6000</v>
      </c>
      <c r="CU64" s="3">
        <f t="shared" ref="CU64" si="203">CS64*CT64</f>
        <v>450000</v>
      </c>
      <c r="CV64" s="3" t="s">
        <v>125</v>
      </c>
      <c r="CW64" s="3">
        <v>30</v>
      </c>
      <c r="CX64" s="3">
        <v>6000</v>
      </c>
      <c r="CY64" s="3">
        <f t="shared" ref="CY64:CY68" si="204">CW64*CX64</f>
        <v>180000</v>
      </c>
      <c r="CZ64" s="3" t="s">
        <v>125</v>
      </c>
      <c r="DA64" s="3">
        <v>15</v>
      </c>
      <c r="DB64" s="3">
        <v>6000</v>
      </c>
      <c r="DC64" s="3">
        <f t="shared" ref="DC64:DC68" si="205">DA64*DB64</f>
        <v>90000</v>
      </c>
      <c r="DD64" s="3" t="s">
        <v>125</v>
      </c>
      <c r="DE64" s="3">
        <v>5</v>
      </c>
      <c r="DF64" s="3">
        <v>6000</v>
      </c>
      <c r="DG64" s="3">
        <f t="shared" ref="DG64" si="206">DE64*DF64</f>
        <v>30000</v>
      </c>
      <c r="DH64" s="3" t="s">
        <v>125</v>
      </c>
      <c r="DI64" s="3">
        <v>100</v>
      </c>
      <c r="DJ64" s="3">
        <v>6000</v>
      </c>
      <c r="DK64" s="3">
        <f t="shared" ref="DK64" si="207">DI64*DJ64</f>
        <v>600000</v>
      </c>
      <c r="DL64" s="3" t="s">
        <v>125</v>
      </c>
      <c r="DM64" s="3"/>
      <c r="DN64" s="3">
        <v>6000</v>
      </c>
      <c r="DO64" s="3">
        <f t="shared" ref="DO64" si="208">DM64*DN64</f>
        <v>0</v>
      </c>
      <c r="DP64" s="3" t="s">
        <v>125</v>
      </c>
      <c r="DQ64" s="3"/>
      <c r="DR64" s="3">
        <v>6000</v>
      </c>
      <c r="DS64" s="3">
        <f t="shared" ref="DS64" si="209">DQ64*DR64</f>
        <v>0</v>
      </c>
      <c r="DT64" s="6">
        <f t="shared" ref="DT64" si="210">CQ64+CU64+CY64+DC64+DG64+DK64+DO64+DS64</f>
        <v>1350000</v>
      </c>
      <c r="DU64" s="2" t="s">
        <v>157</v>
      </c>
      <c r="DV64" s="3">
        <f t="shared" si="189"/>
        <v>0.15</v>
      </c>
      <c r="DW64" s="3">
        <f t="shared" si="190"/>
        <v>200000</v>
      </c>
      <c r="DX64" s="3">
        <f t="shared" si="168"/>
        <v>30000</v>
      </c>
      <c r="DY64" s="3" t="s">
        <v>127</v>
      </c>
      <c r="DZ64" s="3">
        <f t="shared" si="191"/>
        <v>10</v>
      </c>
      <c r="EA64" s="2">
        <v>50000</v>
      </c>
      <c r="EB64" s="3">
        <f t="shared" si="169"/>
        <v>500000</v>
      </c>
      <c r="EC64" s="2" t="s">
        <v>127</v>
      </c>
      <c r="ED64" s="3">
        <f t="shared" si="192"/>
        <v>0</v>
      </c>
      <c r="EE64" s="3">
        <v>80000</v>
      </c>
      <c r="EF64" s="3">
        <f t="shared" si="170"/>
        <v>0</v>
      </c>
      <c r="EG64" s="2" t="s">
        <v>157</v>
      </c>
      <c r="EH64" s="3">
        <f t="shared" si="193"/>
        <v>100</v>
      </c>
      <c r="EI64" s="3">
        <v>6000</v>
      </c>
      <c r="EJ64" s="7">
        <f t="shared" si="124"/>
        <v>600000</v>
      </c>
      <c r="EK64" s="2" t="s">
        <v>157</v>
      </c>
      <c r="EL64" s="13">
        <f t="shared" si="149"/>
        <v>0</v>
      </c>
      <c r="EM64" s="3">
        <v>3000</v>
      </c>
      <c r="EN64" s="3">
        <f t="shared" si="171"/>
        <v>0</v>
      </c>
      <c r="EO64" s="3" t="s">
        <v>126</v>
      </c>
      <c r="EP64" s="3">
        <f t="shared" si="194"/>
        <v>0</v>
      </c>
      <c r="EQ64" s="3">
        <v>1000</v>
      </c>
      <c r="ER64" s="7">
        <f t="shared" si="195"/>
        <v>0</v>
      </c>
      <c r="ES64" s="3" t="s">
        <v>124</v>
      </c>
      <c r="ET64" s="2">
        <v>1</v>
      </c>
      <c r="EU64" s="3">
        <v>60000</v>
      </c>
      <c r="EV64" s="3">
        <f t="shared" si="172"/>
        <v>60000</v>
      </c>
      <c r="EW64" s="3" t="s">
        <v>124</v>
      </c>
      <c r="EX64" s="13"/>
      <c r="EY64" s="3">
        <v>60000</v>
      </c>
      <c r="EZ64" s="3">
        <f t="shared" si="173"/>
        <v>0</v>
      </c>
      <c r="FA64" s="3" t="s">
        <v>170</v>
      </c>
      <c r="FB64" s="14"/>
      <c r="FC64" s="3">
        <v>1000</v>
      </c>
      <c r="FD64" s="3">
        <f t="shared" si="174"/>
        <v>0</v>
      </c>
      <c r="FE64" s="3" t="s">
        <v>126</v>
      </c>
      <c r="FF64" s="3">
        <f t="shared" si="196"/>
        <v>100</v>
      </c>
      <c r="FG64" s="3">
        <v>6000</v>
      </c>
      <c r="FH64" s="3">
        <f t="shared" si="175"/>
        <v>600000</v>
      </c>
      <c r="FI64" s="1">
        <f t="shared" si="176"/>
        <v>1790000</v>
      </c>
      <c r="FJ64" s="3" t="s">
        <v>139</v>
      </c>
      <c r="FK64" s="2">
        <v>40</v>
      </c>
      <c r="FL64" s="2">
        <v>6000</v>
      </c>
      <c r="FM64" s="3">
        <f t="shared" si="177"/>
        <v>240000</v>
      </c>
      <c r="FN64" s="3" t="s">
        <v>139</v>
      </c>
      <c r="FO64" s="2"/>
      <c r="FP64" s="3">
        <v>6000</v>
      </c>
      <c r="FQ64" s="3">
        <f t="shared" si="197"/>
        <v>0</v>
      </c>
      <c r="FR64" s="3" t="s">
        <v>139</v>
      </c>
      <c r="FS64" s="13"/>
      <c r="FT64" s="15">
        <v>6000</v>
      </c>
      <c r="FU64" s="3">
        <f t="shared" si="178"/>
        <v>0</v>
      </c>
      <c r="FV64" s="3" t="s">
        <v>139</v>
      </c>
      <c r="FW64" s="14"/>
      <c r="FX64" s="3">
        <v>8000</v>
      </c>
      <c r="FY64" s="3">
        <f t="shared" si="179"/>
        <v>0</v>
      </c>
      <c r="FZ64" s="3" t="s">
        <v>139</v>
      </c>
      <c r="GA64" s="3">
        <v>2</v>
      </c>
      <c r="GB64" s="3">
        <v>8000</v>
      </c>
      <c r="GC64" s="3">
        <f t="shared" si="180"/>
        <v>16000</v>
      </c>
      <c r="GD64" s="3" t="s">
        <v>139</v>
      </c>
      <c r="GE64" s="3">
        <v>10</v>
      </c>
      <c r="GF64" s="3">
        <v>10000</v>
      </c>
      <c r="GG64" s="3">
        <f t="shared" si="181"/>
        <v>100000</v>
      </c>
      <c r="GH64" s="3" t="s">
        <v>139</v>
      </c>
      <c r="GI64" s="13"/>
      <c r="GJ64" s="13"/>
      <c r="GK64" s="3">
        <f t="shared" si="182"/>
        <v>0</v>
      </c>
      <c r="GL64" s="92">
        <f t="shared" si="183"/>
        <v>356000</v>
      </c>
      <c r="GM64" s="8">
        <f t="shared" si="184"/>
        <v>3716000</v>
      </c>
      <c r="GN64" s="8">
        <f t="shared" si="185"/>
        <v>6000</v>
      </c>
      <c r="GO64" s="101">
        <v>2000</v>
      </c>
      <c r="GP64" s="8">
        <f t="shared" si="198"/>
        <v>12000000</v>
      </c>
      <c r="GQ64" s="8">
        <f t="shared" si="186"/>
        <v>30000000</v>
      </c>
      <c r="GR64" s="8">
        <f t="shared" si="187"/>
        <v>8284000</v>
      </c>
      <c r="GS64" s="8">
        <f t="shared" si="188"/>
        <v>26284000</v>
      </c>
      <c r="GT64" s="15" t="s">
        <v>1802</v>
      </c>
      <c r="GU64" s="70"/>
    </row>
    <row r="65" spans="1:203" ht="158.25" customHeight="1">
      <c r="A65" s="44">
        <v>66</v>
      </c>
      <c r="B65" s="22" t="s">
        <v>810</v>
      </c>
      <c r="C65" s="15" t="s">
        <v>1061</v>
      </c>
      <c r="D65" s="14" t="s">
        <v>1062</v>
      </c>
      <c r="E65" s="13" t="s">
        <v>1063</v>
      </c>
      <c r="F65" s="13" t="s">
        <v>1066</v>
      </c>
      <c r="G65" s="15" t="s">
        <v>1083</v>
      </c>
      <c r="H65" s="14" t="s">
        <v>88</v>
      </c>
      <c r="I65" s="15" t="s">
        <v>1084</v>
      </c>
      <c r="J65" s="15" t="s">
        <v>1085</v>
      </c>
      <c r="K65" s="15" t="s">
        <v>1086</v>
      </c>
      <c r="L65" s="15" t="s">
        <v>1087</v>
      </c>
      <c r="M65" s="15" t="s">
        <v>1071</v>
      </c>
      <c r="N65" s="15" t="s">
        <v>1089</v>
      </c>
      <c r="O65" s="15" t="s">
        <v>1090</v>
      </c>
      <c r="P65" s="15" t="s">
        <v>1091</v>
      </c>
      <c r="Q65" s="13" t="s">
        <v>997</v>
      </c>
      <c r="R65" s="13">
        <v>0.3</v>
      </c>
      <c r="S65" s="13">
        <v>0.5</v>
      </c>
      <c r="T65" s="13">
        <v>150000</v>
      </c>
      <c r="U65" s="13">
        <v>90</v>
      </c>
      <c r="V65" s="13">
        <v>150</v>
      </c>
      <c r="W65" s="15" t="s">
        <v>1092</v>
      </c>
      <c r="X65" s="15">
        <v>4</v>
      </c>
      <c r="Y65" s="15">
        <v>10</v>
      </c>
      <c r="Z65" s="15" t="s">
        <v>1076</v>
      </c>
      <c r="AA65" s="15" t="s">
        <v>1077</v>
      </c>
      <c r="AB65" s="7" t="s">
        <v>1078</v>
      </c>
      <c r="AC65" s="3">
        <v>50000</v>
      </c>
      <c r="AD65" s="13">
        <v>10</v>
      </c>
      <c r="AE65" s="13"/>
      <c r="AF65" s="3">
        <v>80000</v>
      </c>
      <c r="AG65" s="3">
        <f t="shared" ref="AG65:AG104" si="211">(AC65*AD65)+(AE65*AF65)</f>
        <v>500000</v>
      </c>
      <c r="AH65" s="7" t="s">
        <v>1093</v>
      </c>
      <c r="AI65" s="13"/>
      <c r="AJ65" s="15">
        <v>1000</v>
      </c>
      <c r="AK65" s="13">
        <v>100</v>
      </c>
      <c r="AL65" s="15">
        <v>6000</v>
      </c>
      <c r="AM65" s="15"/>
      <c r="AN65" s="15">
        <v>3000</v>
      </c>
      <c r="AO65" s="42">
        <v>100</v>
      </c>
      <c r="AP65" s="15">
        <v>6000</v>
      </c>
      <c r="AQ65" s="2">
        <f t="shared" si="199"/>
        <v>1200000</v>
      </c>
      <c r="AR65" s="7" t="s">
        <v>1081</v>
      </c>
      <c r="AS65" s="15" t="s">
        <v>1082</v>
      </c>
      <c r="AT65" s="2" t="s">
        <v>139</v>
      </c>
      <c r="AU65" s="13">
        <v>7.5</v>
      </c>
      <c r="AV65" s="3">
        <v>6000</v>
      </c>
      <c r="AW65" s="2">
        <f t="shared" si="134"/>
        <v>45000</v>
      </c>
      <c r="AX65" s="2" t="s">
        <v>139</v>
      </c>
      <c r="AY65" s="13">
        <v>5</v>
      </c>
      <c r="AZ65" s="3">
        <v>6000</v>
      </c>
      <c r="BA65" s="2">
        <f t="shared" si="164"/>
        <v>30000</v>
      </c>
      <c r="BB65" s="2" t="s">
        <v>139</v>
      </c>
      <c r="BC65" s="13">
        <v>2</v>
      </c>
      <c r="BD65" s="3">
        <v>6000</v>
      </c>
      <c r="BE65" s="3">
        <f t="shared" si="165"/>
        <v>12000</v>
      </c>
      <c r="BF65" s="3" t="s">
        <v>125</v>
      </c>
      <c r="BG65" s="2">
        <v>2</v>
      </c>
      <c r="BH65" s="3">
        <v>6000</v>
      </c>
      <c r="BI65" s="3">
        <f t="shared" si="162"/>
        <v>12000</v>
      </c>
      <c r="BJ65" s="3" t="s">
        <v>126</v>
      </c>
      <c r="BK65" s="13"/>
      <c r="BL65" s="3">
        <v>1000</v>
      </c>
      <c r="BM65" s="3">
        <f t="shared" ref="BM65" si="212">BK65*BL65</f>
        <v>0</v>
      </c>
      <c r="BN65" s="13" t="s">
        <v>20</v>
      </c>
      <c r="BO65" s="13"/>
      <c r="BP65" s="2">
        <v>3000</v>
      </c>
      <c r="BQ65" s="3">
        <f>BO65*BP65</f>
        <v>0</v>
      </c>
      <c r="BR65" s="2" t="s">
        <v>126</v>
      </c>
      <c r="BS65" s="13"/>
      <c r="BT65" s="2">
        <f>6000</f>
        <v>6000</v>
      </c>
      <c r="BU65" s="3">
        <f t="shared" si="135"/>
        <v>0</v>
      </c>
      <c r="BV65" s="2" t="s">
        <v>126</v>
      </c>
      <c r="BW65" s="13">
        <v>9</v>
      </c>
      <c r="BX65" s="2">
        <v>6000</v>
      </c>
      <c r="BY65" s="3">
        <f t="shared" si="136"/>
        <v>54000</v>
      </c>
      <c r="BZ65" s="92">
        <f t="shared" si="146"/>
        <v>123000</v>
      </c>
      <c r="CA65" s="2" t="s">
        <v>139</v>
      </c>
      <c r="CB65" s="3">
        <v>5</v>
      </c>
      <c r="CC65" s="3">
        <v>8000</v>
      </c>
      <c r="CD65" s="3">
        <f t="shared" si="200"/>
        <v>40000</v>
      </c>
      <c r="CE65" s="2" t="s">
        <v>139</v>
      </c>
      <c r="CF65" s="2">
        <v>30</v>
      </c>
      <c r="CG65" s="2">
        <v>6000</v>
      </c>
      <c r="CH65" s="3">
        <f t="shared" si="201"/>
        <v>180000</v>
      </c>
      <c r="CI65" s="3" t="s">
        <v>139</v>
      </c>
      <c r="CJ65" s="3">
        <v>1</v>
      </c>
      <c r="CK65" s="13"/>
      <c r="CL65" s="3">
        <f t="shared" si="166"/>
        <v>0</v>
      </c>
      <c r="CM65" s="5">
        <f t="shared" si="167"/>
        <v>220000</v>
      </c>
      <c r="CN65" s="3" t="s">
        <v>125</v>
      </c>
      <c r="CO65" s="3">
        <v>0</v>
      </c>
      <c r="CP65" s="3">
        <v>6000</v>
      </c>
      <c r="CQ65" s="3">
        <f t="shared" si="154"/>
        <v>0</v>
      </c>
      <c r="CR65" s="3" t="s">
        <v>125</v>
      </c>
      <c r="CS65" s="3">
        <v>75</v>
      </c>
      <c r="CT65" s="3">
        <v>6000</v>
      </c>
      <c r="CU65" s="3">
        <f t="shared" si="155"/>
        <v>450000</v>
      </c>
      <c r="CV65" s="3" t="s">
        <v>125</v>
      </c>
      <c r="CW65" s="3">
        <v>30</v>
      </c>
      <c r="CX65" s="3">
        <v>6000</v>
      </c>
      <c r="CY65" s="3">
        <f t="shared" si="204"/>
        <v>180000</v>
      </c>
      <c r="CZ65" s="3" t="s">
        <v>125</v>
      </c>
      <c r="DA65" s="3">
        <v>15</v>
      </c>
      <c r="DB65" s="3">
        <v>6000</v>
      </c>
      <c r="DC65" s="3">
        <f t="shared" si="205"/>
        <v>90000</v>
      </c>
      <c r="DD65" s="3" t="s">
        <v>125</v>
      </c>
      <c r="DE65" s="3">
        <v>5</v>
      </c>
      <c r="DF65" s="3">
        <v>6000</v>
      </c>
      <c r="DG65" s="3">
        <f t="shared" si="121"/>
        <v>30000</v>
      </c>
      <c r="DH65" s="3" t="s">
        <v>125</v>
      </c>
      <c r="DI65" s="3">
        <v>100</v>
      </c>
      <c r="DJ65" s="3">
        <v>6000</v>
      </c>
      <c r="DK65" s="3">
        <f t="shared" si="158"/>
        <v>600000</v>
      </c>
      <c r="DL65" s="3" t="s">
        <v>125</v>
      </c>
      <c r="DM65" s="3"/>
      <c r="DN65" s="3">
        <v>6000</v>
      </c>
      <c r="DO65" s="3">
        <f t="shared" si="159"/>
        <v>0</v>
      </c>
      <c r="DP65" s="3" t="s">
        <v>125</v>
      </c>
      <c r="DQ65" s="3"/>
      <c r="DR65" s="3">
        <v>6000</v>
      </c>
      <c r="DS65" s="3">
        <f t="shared" ref="DS65:DS91" si="213">DQ65*DR65</f>
        <v>0</v>
      </c>
      <c r="DT65" s="6">
        <f t="shared" ref="DT65:DT91" si="214">CQ65+CU65+CY65+DC65+DG65+DK65+DO65+DS65</f>
        <v>1350000</v>
      </c>
      <c r="DU65" s="2" t="s">
        <v>157</v>
      </c>
      <c r="DV65" s="3">
        <f t="shared" si="189"/>
        <v>0.3</v>
      </c>
      <c r="DW65" s="3">
        <f t="shared" si="190"/>
        <v>150000</v>
      </c>
      <c r="DX65" s="3">
        <f t="shared" si="168"/>
        <v>45000</v>
      </c>
      <c r="DY65" s="3" t="s">
        <v>127</v>
      </c>
      <c r="DZ65" s="3">
        <f t="shared" si="191"/>
        <v>10</v>
      </c>
      <c r="EA65" s="2">
        <v>50000</v>
      </c>
      <c r="EB65" s="3">
        <f t="shared" si="169"/>
        <v>500000</v>
      </c>
      <c r="EC65" s="13"/>
      <c r="ED65" s="3">
        <f t="shared" si="192"/>
        <v>0</v>
      </c>
      <c r="EE65" s="3">
        <v>80000</v>
      </c>
      <c r="EF65" s="3">
        <f t="shared" si="170"/>
        <v>0</v>
      </c>
      <c r="EG65" s="13"/>
      <c r="EH65" s="3">
        <f t="shared" si="193"/>
        <v>100</v>
      </c>
      <c r="EI65" s="3">
        <v>6000</v>
      </c>
      <c r="EJ65" s="7">
        <f t="shared" si="124"/>
        <v>600000</v>
      </c>
      <c r="EK65" s="2" t="s">
        <v>157</v>
      </c>
      <c r="EL65" s="13">
        <f t="shared" si="149"/>
        <v>0</v>
      </c>
      <c r="EM65" s="3">
        <v>3000</v>
      </c>
      <c r="EN65" s="3">
        <f t="shared" si="171"/>
        <v>0</v>
      </c>
      <c r="EO65" s="3" t="s">
        <v>126</v>
      </c>
      <c r="EP65" s="3">
        <f t="shared" si="194"/>
        <v>0</v>
      </c>
      <c r="EQ65" s="3">
        <v>1000</v>
      </c>
      <c r="ER65" s="7">
        <f t="shared" si="195"/>
        <v>0</v>
      </c>
      <c r="ES65" s="3" t="s">
        <v>124</v>
      </c>
      <c r="ET65" s="2">
        <v>1</v>
      </c>
      <c r="EU65" s="3">
        <v>60000</v>
      </c>
      <c r="EV65" s="3">
        <f t="shared" si="172"/>
        <v>60000</v>
      </c>
      <c r="EW65" s="3" t="s">
        <v>124</v>
      </c>
      <c r="EX65" s="13"/>
      <c r="EY65" s="3">
        <v>60000</v>
      </c>
      <c r="EZ65" s="3">
        <f t="shared" si="173"/>
        <v>0</v>
      </c>
      <c r="FA65" s="3" t="s">
        <v>170</v>
      </c>
      <c r="FB65" s="14"/>
      <c r="FC65" s="3">
        <v>1000</v>
      </c>
      <c r="FD65" s="3">
        <f t="shared" si="174"/>
        <v>0</v>
      </c>
      <c r="FE65" s="3" t="s">
        <v>126</v>
      </c>
      <c r="FF65" s="3">
        <f t="shared" si="196"/>
        <v>100</v>
      </c>
      <c r="FG65" s="3">
        <v>6000</v>
      </c>
      <c r="FH65" s="3">
        <f t="shared" si="175"/>
        <v>600000</v>
      </c>
      <c r="FI65" s="1">
        <f t="shared" si="176"/>
        <v>1805000</v>
      </c>
      <c r="FJ65" s="3" t="s">
        <v>139</v>
      </c>
      <c r="FK65" s="2">
        <v>40</v>
      </c>
      <c r="FL65" s="2">
        <v>6000</v>
      </c>
      <c r="FM65" s="3">
        <f t="shared" si="177"/>
        <v>240000</v>
      </c>
      <c r="FN65" s="3" t="s">
        <v>139</v>
      </c>
      <c r="FO65" s="2"/>
      <c r="FP65" s="3">
        <v>6000</v>
      </c>
      <c r="FQ65" s="3">
        <f t="shared" si="197"/>
        <v>0</v>
      </c>
      <c r="FR65" s="3" t="s">
        <v>139</v>
      </c>
      <c r="FS65" s="13"/>
      <c r="FT65" s="15">
        <v>6000</v>
      </c>
      <c r="FU65" s="3">
        <f t="shared" si="178"/>
        <v>0</v>
      </c>
      <c r="FV65" s="3" t="s">
        <v>139</v>
      </c>
      <c r="FW65" s="14"/>
      <c r="FX65" s="3">
        <v>8000</v>
      </c>
      <c r="FY65" s="3">
        <f t="shared" si="179"/>
        <v>0</v>
      </c>
      <c r="FZ65" s="3" t="s">
        <v>139</v>
      </c>
      <c r="GA65" s="3">
        <v>2</v>
      </c>
      <c r="GB65" s="3">
        <v>8000</v>
      </c>
      <c r="GC65" s="3">
        <f t="shared" si="180"/>
        <v>16000</v>
      </c>
      <c r="GD65" s="3" t="s">
        <v>139</v>
      </c>
      <c r="GE65" s="3">
        <v>10</v>
      </c>
      <c r="GF65" s="3">
        <v>10000</v>
      </c>
      <c r="GG65" s="3">
        <f t="shared" si="181"/>
        <v>100000</v>
      </c>
      <c r="GH65" s="3" t="s">
        <v>139</v>
      </c>
      <c r="GI65" s="13"/>
      <c r="GJ65" s="13"/>
      <c r="GK65" s="3">
        <f t="shared" si="182"/>
        <v>0</v>
      </c>
      <c r="GL65" s="92">
        <f t="shared" si="183"/>
        <v>356000</v>
      </c>
      <c r="GM65" s="8">
        <f t="shared" si="184"/>
        <v>3854000</v>
      </c>
      <c r="GN65" s="8">
        <f t="shared" si="185"/>
        <v>4000</v>
      </c>
      <c r="GO65" s="101">
        <v>4000</v>
      </c>
      <c r="GP65" s="8">
        <f t="shared" si="198"/>
        <v>16000000</v>
      </c>
      <c r="GQ65" s="8">
        <f t="shared" si="186"/>
        <v>40000000</v>
      </c>
      <c r="GR65" s="8">
        <f t="shared" si="187"/>
        <v>12146000</v>
      </c>
      <c r="GS65" s="8">
        <f t="shared" si="188"/>
        <v>36146000</v>
      </c>
      <c r="GT65" s="15" t="s">
        <v>1803</v>
      </c>
      <c r="GU65" s="47" t="s">
        <v>1094</v>
      </c>
    </row>
    <row r="66" spans="1:203" s="26" customFormat="1" ht="158.25" customHeight="1">
      <c r="A66" s="44">
        <v>67</v>
      </c>
      <c r="B66" s="23" t="s">
        <v>812</v>
      </c>
      <c r="C66" s="13" t="s">
        <v>813</v>
      </c>
      <c r="D66" s="13" t="s">
        <v>814</v>
      </c>
      <c r="E66" s="13" t="s">
        <v>1095</v>
      </c>
      <c r="F66" s="13" t="s">
        <v>1715</v>
      </c>
      <c r="G66" s="13" t="s">
        <v>1096</v>
      </c>
      <c r="H66" s="13" t="s">
        <v>1100</v>
      </c>
      <c r="I66" s="87" t="s">
        <v>1098</v>
      </c>
      <c r="J66" s="15" t="s">
        <v>1099</v>
      </c>
      <c r="K66" s="15" t="s">
        <v>1104</v>
      </c>
      <c r="L66" s="15" t="s">
        <v>1101</v>
      </c>
      <c r="M66" s="15" t="s">
        <v>1102</v>
      </c>
      <c r="N66" s="15" t="s">
        <v>1103</v>
      </c>
      <c r="O66" s="15" t="s">
        <v>1105</v>
      </c>
      <c r="P66" s="15" t="s">
        <v>1106</v>
      </c>
      <c r="Q66" s="13" t="s">
        <v>1107</v>
      </c>
      <c r="R66" s="13">
        <v>40000</v>
      </c>
      <c r="S66" s="13">
        <v>60000</v>
      </c>
      <c r="T66" s="13">
        <v>50</v>
      </c>
      <c r="U66" s="13">
        <v>480</v>
      </c>
      <c r="V66" s="13">
        <v>720</v>
      </c>
      <c r="W66" s="15" t="s">
        <v>1108</v>
      </c>
      <c r="X66" s="15">
        <v>10</v>
      </c>
      <c r="Y66" s="15">
        <v>20</v>
      </c>
      <c r="Z66" s="15" t="s">
        <v>1109</v>
      </c>
      <c r="AA66" s="19" t="s">
        <v>1110</v>
      </c>
      <c r="AB66" s="19" t="s">
        <v>1111</v>
      </c>
      <c r="AC66" s="3">
        <v>50000</v>
      </c>
      <c r="AD66" s="13"/>
      <c r="AE66" s="42">
        <v>10</v>
      </c>
      <c r="AF66" s="3">
        <v>80000</v>
      </c>
      <c r="AG66" s="3">
        <f t="shared" si="211"/>
        <v>800000</v>
      </c>
      <c r="AH66" s="15" t="s">
        <v>1112</v>
      </c>
      <c r="AI66" s="13">
        <v>200</v>
      </c>
      <c r="AJ66" s="15">
        <v>1000</v>
      </c>
      <c r="AK66" s="13">
        <v>300</v>
      </c>
      <c r="AL66" s="15">
        <v>6000</v>
      </c>
      <c r="AM66" s="15">
        <v>100</v>
      </c>
      <c r="AN66" s="15">
        <v>3000</v>
      </c>
      <c r="AO66" s="42"/>
      <c r="AP66" s="15">
        <v>6000</v>
      </c>
      <c r="AQ66" s="2">
        <f t="shared" si="199"/>
        <v>2300000</v>
      </c>
      <c r="AR66" s="15" t="s">
        <v>1114</v>
      </c>
      <c r="AS66" s="15" t="s">
        <v>1113</v>
      </c>
      <c r="AT66" s="2" t="s">
        <v>139</v>
      </c>
      <c r="AU66" s="36"/>
      <c r="AV66" s="3">
        <v>6000</v>
      </c>
      <c r="AW66" s="2">
        <f t="shared" si="134"/>
        <v>0</v>
      </c>
      <c r="AX66" s="3" t="s">
        <v>139</v>
      </c>
      <c r="AY66" s="13"/>
      <c r="AZ66" s="3">
        <v>6000</v>
      </c>
      <c r="BA66" s="3">
        <f t="shared" si="164"/>
        <v>0</v>
      </c>
      <c r="BB66" s="3" t="s">
        <v>139</v>
      </c>
      <c r="BC66" s="34"/>
      <c r="BD66" s="3">
        <v>6000</v>
      </c>
      <c r="BE66" s="3">
        <f t="shared" si="165"/>
        <v>0</v>
      </c>
      <c r="BF66" s="3" t="s">
        <v>125</v>
      </c>
      <c r="BG66" s="3"/>
      <c r="BH66" s="3">
        <v>6000</v>
      </c>
      <c r="BI66" s="3">
        <f t="shared" ref="BI66:BI92" si="215">BG66*BH66</f>
        <v>0</v>
      </c>
      <c r="BJ66" s="13" t="s">
        <v>20</v>
      </c>
      <c r="BK66" s="14"/>
      <c r="BL66" s="3">
        <v>1000</v>
      </c>
      <c r="BM66" s="3">
        <f t="shared" si="62"/>
        <v>0</v>
      </c>
      <c r="BN66" s="2" t="s">
        <v>126</v>
      </c>
      <c r="BO66" s="13"/>
      <c r="BP66" s="2">
        <v>3000</v>
      </c>
      <c r="BQ66" s="13"/>
      <c r="BR66" s="2" t="s">
        <v>126</v>
      </c>
      <c r="BS66" s="13"/>
      <c r="BT66" s="2">
        <f>6000</f>
        <v>6000</v>
      </c>
      <c r="BU66" s="3">
        <f t="shared" si="135"/>
        <v>0</v>
      </c>
      <c r="BV66" s="2" t="s">
        <v>126</v>
      </c>
      <c r="BW66" s="2"/>
      <c r="BX66" s="2">
        <v>6000</v>
      </c>
      <c r="BY66" s="3">
        <f t="shared" si="136"/>
        <v>0</v>
      </c>
      <c r="BZ66" s="92">
        <f t="shared" ref="BZ66:BZ75" si="216">AW66+BE66+BM66+BQ66+BU66+BI66+BY66</f>
        <v>0</v>
      </c>
      <c r="CA66" s="2" t="s">
        <v>139</v>
      </c>
      <c r="CB66" s="3">
        <v>5</v>
      </c>
      <c r="CC66" s="3">
        <v>8000</v>
      </c>
      <c r="CD66" s="3">
        <f t="shared" si="200"/>
        <v>40000</v>
      </c>
      <c r="CE66" s="2" t="s">
        <v>139</v>
      </c>
      <c r="CF66" s="2">
        <v>30</v>
      </c>
      <c r="CG66" s="2">
        <v>6000</v>
      </c>
      <c r="CH66" s="3">
        <f t="shared" si="201"/>
        <v>180000</v>
      </c>
      <c r="CI66" s="3" t="s">
        <v>139</v>
      </c>
      <c r="CJ66" s="3">
        <v>1</v>
      </c>
      <c r="CK66" s="13"/>
      <c r="CL66" s="3">
        <f t="shared" si="166"/>
        <v>0</v>
      </c>
      <c r="CM66" s="5">
        <f t="shared" si="167"/>
        <v>220000</v>
      </c>
      <c r="CN66" s="3" t="s">
        <v>125</v>
      </c>
      <c r="CO66" s="3">
        <v>0</v>
      </c>
      <c r="CP66" s="3">
        <v>6000</v>
      </c>
      <c r="CQ66" s="3">
        <f t="shared" si="154"/>
        <v>0</v>
      </c>
      <c r="CR66" s="3" t="s">
        <v>125</v>
      </c>
      <c r="CS66" s="3">
        <v>75</v>
      </c>
      <c r="CT66" s="3">
        <v>6000</v>
      </c>
      <c r="CU66" s="3">
        <f t="shared" si="155"/>
        <v>450000</v>
      </c>
      <c r="CV66" s="3" t="s">
        <v>125</v>
      </c>
      <c r="CW66" s="3">
        <v>30</v>
      </c>
      <c r="CX66" s="3">
        <v>6000</v>
      </c>
      <c r="CY66" s="3">
        <f t="shared" si="204"/>
        <v>180000</v>
      </c>
      <c r="CZ66" s="3" t="s">
        <v>125</v>
      </c>
      <c r="DA66" s="3">
        <v>15</v>
      </c>
      <c r="DB66" s="3">
        <v>6000</v>
      </c>
      <c r="DC66" s="3">
        <f t="shared" si="205"/>
        <v>90000</v>
      </c>
      <c r="DD66" s="3" t="s">
        <v>125</v>
      </c>
      <c r="DE66" s="3">
        <v>5</v>
      </c>
      <c r="DF66" s="3">
        <v>6000</v>
      </c>
      <c r="DG66" s="3">
        <f t="shared" ref="DG66:DG68" si="217">DE66*DF66</f>
        <v>30000</v>
      </c>
      <c r="DH66" s="3" t="s">
        <v>125</v>
      </c>
      <c r="DI66" s="3">
        <v>100</v>
      </c>
      <c r="DJ66" s="3">
        <v>6000</v>
      </c>
      <c r="DK66" s="3">
        <f t="shared" si="158"/>
        <v>600000</v>
      </c>
      <c r="DL66" s="3" t="s">
        <v>125</v>
      </c>
      <c r="DM66" s="3"/>
      <c r="DN66" s="3">
        <v>6000</v>
      </c>
      <c r="DO66" s="3">
        <f t="shared" si="159"/>
        <v>0</v>
      </c>
      <c r="DP66" s="3" t="s">
        <v>125</v>
      </c>
      <c r="DQ66" s="3"/>
      <c r="DR66" s="3">
        <v>6000</v>
      </c>
      <c r="DS66" s="3">
        <f t="shared" si="213"/>
        <v>0</v>
      </c>
      <c r="DT66" s="6">
        <f t="shared" si="214"/>
        <v>1350000</v>
      </c>
      <c r="DU66" s="2" t="s">
        <v>157</v>
      </c>
      <c r="DV66" s="3">
        <f t="shared" si="189"/>
        <v>40000</v>
      </c>
      <c r="DW66" s="3">
        <f t="shared" si="190"/>
        <v>50</v>
      </c>
      <c r="DX66" s="3">
        <f t="shared" si="168"/>
        <v>2000000</v>
      </c>
      <c r="DY66" s="3" t="s">
        <v>127</v>
      </c>
      <c r="DZ66" s="3">
        <f t="shared" si="191"/>
        <v>0</v>
      </c>
      <c r="EA66" s="2">
        <v>50000</v>
      </c>
      <c r="EB66" s="3">
        <f t="shared" si="169"/>
        <v>0</v>
      </c>
      <c r="EC66" s="2" t="s">
        <v>127</v>
      </c>
      <c r="ED66" s="3">
        <f t="shared" si="192"/>
        <v>10</v>
      </c>
      <c r="EE66" s="3">
        <v>80000</v>
      </c>
      <c r="EF66" s="3">
        <f t="shared" si="170"/>
        <v>800000</v>
      </c>
      <c r="EG66" s="2" t="s">
        <v>157</v>
      </c>
      <c r="EH66" s="3">
        <f t="shared" si="193"/>
        <v>300</v>
      </c>
      <c r="EI66" s="3">
        <v>6000</v>
      </c>
      <c r="EJ66" s="7">
        <f t="shared" si="124"/>
        <v>1800000</v>
      </c>
      <c r="EK66" s="2" t="s">
        <v>157</v>
      </c>
      <c r="EL66" s="13">
        <f t="shared" si="149"/>
        <v>100</v>
      </c>
      <c r="EM66" s="3">
        <v>3000</v>
      </c>
      <c r="EN66" s="3">
        <f t="shared" si="171"/>
        <v>300000</v>
      </c>
      <c r="EO66" s="3" t="s">
        <v>126</v>
      </c>
      <c r="EP66" s="3">
        <f t="shared" si="194"/>
        <v>200</v>
      </c>
      <c r="EQ66" s="3">
        <v>1000</v>
      </c>
      <c r="ER66" s="7">
        <f t="shared" si="195"/>
        <v>200000</v>
      </c>
      <c r="ES66" s="3" t="s">
        <v>124</v>
      </c>
      <c r="ET66" s="2">
        <v>1</v>
      </c>
      <c r="EU66" s="3">
        <v>60000</v>
      </c>
      <c r="EV66" s="3">
        <f t="shared" si="172"/>
        <v>60000</v>
      </c>
      <c r="EW66" s="3" t="s">
        <v>124</v>
      </c>
      <c r="EX66" s="13"/>
      <c r="EY66" s="3">
        <v>60000</v>
      </c>
      <c r="EZ66" s="3">
        <f t="shared" si="173"/>
        <v>0</v>
      </c>
      <c r="FA66" s="3" t="s">
        <v>170</v>
      </c>
      <c r="FB66" s="14"/>
      <c r="FC66" s="3">
        <v>1000</v>
      </c>
      <c r="FD66" s="3">
        <f t="shared" si="174"/>
        <v>0</v>
      </c>
      <c r="FE66" s="3" t="s">
        <v>126</v>
      </c>
      <c r="FF66" s="3">
        <f t="shared" si="196"/>
        <v>0</v>
      </c>
      <c r="FG66" s="3">
        <v>6000</v>
      </c>
      <c r="FH66" s="3">
        <f t="shared" si="175"/>
        <v>0</v>
      </c>
      <c r="FI66" s="1">
        <f t="shared" si="176"/>
        <v>5160000</v>
      </c>
      <c r="FJ66" s="3" t="s">
        <v>139</v>
      </c>
      <c r="FK66" s="2">
        <v>40</v>
      </c>
      <c r="FL66" s="2">
        <v>6000</v>
      </c>
      <c r="FM66" s="3">
        <f t="shared" si="177"/>
        <v>240000</v>
      </c>
      <c r="FN66" s="3" t="s">
        <v>139</v>
      </c>
      <c r="FO66" s="2"/>
      <c r="FP66" s="3">
        <v>6000</v>
      </c>
      <c r="FQ66" s="3">
        <f t="shared" si="197"/>
        <v>0</v>
      </c>
      <c r="FR66" s="3" t="s">
        <v>139</v>
      </c>
      <c r="FS66" s="13"/>
      <c r="FT66" s="15">
        <v>6000</v>
      </c>
      <c r="FU66" s="3">
        <f t="shared" si="178"/>
        <v>0</v>
      </c>
      <c r="FV66" s="3" t="s">
        <v>139</v>
      </c>
      <c r="FW66" s="14"/>
      <c r="FX66" s="3">
        <v>8000</v>
      </c>
      <c r="FY66" s="3">
        <f t="shared" si="179"/>
        <v>0</v>
      </c>
      <c r="FZ66" s="3" t="s">
        <v>139</v>
      </c>
      <c r="GA66" s="3">
        <v>2</v>
      </c>
      <c r="GB66" s="3">
        <v>8000</v>
      </c>
      <c r="GC66" s="3">
        <f t="shared" si="180"/>
        <v>16000</v>
      </c>
      <c r="GD66" s="3" t="s">
        <v>139</v>
      </c>
      <c r="GE66" s="3">
        <v>10</v>
      </c>
      <c r="GF66" s="3">
        <v>10000</v>
      </c>
      <c r="GG66" s="3">
        <f t="shared" si="181"/>
        <v>100000</v>
      </c>
      <c r="GH66" s="3" t="s">
        <v>139</v>
      </c>
      <c r="GI66" s="13"/>
      <c r="GJ66" s="13"/>
      <c r="GK66" s="3">
        <f t="shared" si="182"/>
        <v>0</v>
      </c>
      <c r="GL66" s="92">
        <f t="shared" si="183"/>
        <v>356000</v>
      </c>
      <c r="GM66" s="8">
        <f t="shared" si="184"/>
        <v>7086000</v>
      </c>
      <c r="GN66" s="8">
        <f t="shared" si="185"/>
        <v>10000</v>
      </c>
      <c r="GO66" s="101">
        <v>1800</v>
      </c>
      <c r="GP66" s="8">
        <f t="shared" si="198"/>
        <v>18000000</v>
      </c>
      <c r="GQ66" s="8">
        <f t="shared" si="186"/>
        <v>36000000</v>
      </c>
      <c r="GR66" s="8">
        <f t="shared" si="187"/>
        <v>10914000</v>
      </c>
      <c r="GS66" s="8">
        <f t="shared" si="188"/>
        <v>28914000</v>
      </c>
      <c r="GT66" s="15" t="s">
        <v>1804</v>
      </c>
      <c r="GU66" s="47" t="s">
        <v>1115</v>
      </c>
    </row>
    <row r="67" spans="1:203" s="26" customFormat="1" ht="158.25" customHeight="1">
      <c r="A67" s="44">
        <v>68</v>
      </c>
      <c r="B67" s="23" t="s">
        <v>812</v>
      </c>
      <c r="C67" s="13" t="s">
        <v>813</v>
      </c>
      <c r="D67" s="13" t="s">
        <v>816</v>
      </c>
      <c r="E67" s="13" t="s">
        <v>1095</v>
      </c>
      <c r="F67" s="13" t="s">
        <v>1716</v>
      </c>
      <c r="G67" s="13" t="s">
        <v>1097</v>
      </c>
      <c r="H67" s="13" t="s">
        <v>1100</v>
      </c>
      <c r="I67" s="87" t="s">
        <v>1098</v>
      </c>
      <c r="J67" s="15" t="s">
        <v>1099</v>
      </c>
      <c r="K67" s="15" t="s">
        <v>1104</v>
      </c>
      <c r="L67" s="15" t="s">
        <v>1101</v>
      </c>
      <c r="M67" s="15" t="s">
        <v>1102</v>
      </c>
      <c r="N67" s="15" t="s">
        <v>1103</v>
      </c>
      <c r="O67" s="15" t="s">
        <v>1105</v>
      </c>
      <c r="P67" s="15" t="s">
        <v>1106</v>
      </c>
      <c r="Q67" s="13" t="s">
        <v>1107</v>
      </c>
      <c r="R67" s="13">
        <v>40000</v>
      </c>
      <c r="S67" s="13">
        <v>60000</v>
      </c>
      <c r="T67" s="13">
        <v>50</v>
      </c>
      <c r="U67" s="15">
        <v>480</v>
      </c>
      <c r="V67" s="15">
        <v>720</v>
      </c>
      <c r="W67" s="15" t="s">
        <v>1108</v>
      </c>
      <c r="X67" s="15">
        <v>10</v>
      </c>
      <c r="Y67" s="15">
        <v>22</v>
      </c>
      <c r="Z67" s="15" t="s">
        <v>1109</v>
      </c>
      <c r="AA67" s="19" t="s">
        <v>1110</v>
      </c>
      <c r="AB67" s="19" t="s">
        <v>1111</v>
      </c>
      <c r="AC67" s="3">
        <v>50000</v>
      </c>
      <c r="AD67" s="42"/>
      <c r="AE67" s="32">
        <v>10</v>
      </c>
      <c r="AF67" s="3">
        <v>80000</v>
      </c>
      <c r="AG67" s="3">
        <f t="shared" si="211"/>
        <v>800000</v>
      </c>
      <c r="AH67" s="15" t="s">
        <v>1112</v>
      </c>
      <c r="AI67" s="13">
        <v>200</v>
      </c>
      <c r="AJ67" s="15">
        <v>1000</v>
      </c>
      <c r="AK67" s="13">
        <v>300</v>
      </c>
      <c r="AL67" s="15">
        <v>6000</v>
      </c>
      <c r="AM67" s="15">
        <v>100</v>
      </c>
      <c r="AN67" s="15">
        <v>3000</v>
      </c>
      <c r="AO67" s="42"/>
      <c r="AP67" s="15">
        <v>6000</v>
      </c>
      <c r="AQ67" s="2">
        <f t="shared" si="199"/>
        <v>2300000</v>
      </c>
      <c r="AR67" s="15" t="s">
        <v>1114</v>
      </c>
      <c r="AS67" s="15" t="s">
        <v>1113</v>
      </c>
      <c r="AT67" s="2" t="s">
        <v>139</v>
      </c>
      <c r="AU67" s="36"/>
      <c r="AV67" s="3">
        <v>6000</v>
      </c>
      <c r="AW67" s="2">
        <f t="shared" si="134"/>
        <v>0</v>
      </c>
      <c r="AX67" s="3" t="s">
        <v>139</v>
      </c>
      <c r="AY67" s="13"/>
      <c r="AZ67" s="3">
        <v>6000</v>
      </c>
      <c r="BA67" s="3">
        <f t="shared" si="164"/>
        <v>0</v>
      </c>
      <c r="BB67" s="3" t="s">
        <v>139</v>
      </c>
      <c r="BC67" s="34"/>
      <c r="BD67" s="3">
        <v>6000</v>
      </c>
      <c r="BE67" s="3">
        <f t="shared" si="165"/>
        <v>0</v>
      </c>
      <c r="BF67" s="3" t="s">
        <v>125</v>
      </c>
      <c r="BG67" s="3"/>
      <c r="BH67" s="3">
        <v>6000</v>
      </c>
      <c r="BI67" s="3">
        <f t="shared" si="215"/>
        <v>0</v>
      </c>
      <c r="BJ67" s="13" t="s">
        <v>20</v>
      </c>
      <c r="BK67" s="14"/>
      <c r="BL67" s="3">
        <v>1000</v>
      </c>
      <c r="BM67" s="3">
        <f t="shared" si="62"/>
        <v>0</v>
      </c>
      <c r="BN67" s="2" t="s">
        <v>126</v>
      </c>
      <c r="BO67" s="13"/>
      <c r="BP67" s="2">
        <v>3000</v>
      </c>
      <c r="BQ67" s="13"/>
      <c r="BR67" s="2" t="s">
        <v>126</v>
      </c>
      <c r="BS67" s="13"/>
      <c r="BT67" s="2">
        <f>6000</f>
        <v>6000</v>
      </c>
      <c r="BU67" s="3">
        <f t="shared" si="135"/>
        <v>0</v>
      </c>
      <c r="BV67" s="2" t="s">
        <v>126</v>
      </c>
      <c r="BW67" s="2"/>
      <c r="BX67" s="2">
        <v>6000</v>
      </c>
      <c r="BY67" s="3">
        <f t="shared" si="136"/>
        <v>0</v>
      </c>
      <c r="BZ67" s="92">
        <f t="shared" si="216"/>
        <v>0</v>
      </c>
      <c r="CA67" s="2" t="s">
        <v>139</v>
      </c>
      <c r="CB67" s="3">
        <v>5</v>
      </c>
      <c r="CC67" s="3">
        <v>8000</v>
      </c>
      <c r="CD67" s="3">
        <f t="shared" si="200"/>
        <v>40000</v>
      </c>
      <c r="CE67" s="2" t="s">
        <v>139</v>
      </c>
      <c r="CF67" s="2">
        <v>30</v>
      </c>
      <c r="CG67" s="2">
        <v>6000</v>
      </c>
      <c r="CH67" s="3">
        <f t="shared" si="201"/>
        <v>180000</v>
      </c>
      <c r="CI67" s="3" t="s">
        <v>139</v>
      </c>
      <c r="CJ67" s="3">
        <v>1</v>
      </c>
      <c r="CK67" s="13"/>
      <c r="CL67" s="3">
        <f t="shared" si="166"/>
        <v>0</v>
      </c>
      <c r="CM67" s="5">
        <f t="shared" si="167"/>
        <v>220000</v>
      </c>
      <c r="CN67" s="3" t="s">
        <v>125</v>
      </c>
      <c r="CO67" s="3">
        <v>0</v>
      </c>
      <c r="CP67" s="3">
        <v>6000</v>
      </c>
      <c r="CQ67" s="3">
        <f t="shared" si="154"/>
        <v>0</v>
      </c>
      <c r="CR67" s="3" t="s">
        <v>125</v>
      </c>
      <c r="CS67" s="3">
        <v>75</v>
      </c>
      <c r="CT67" s="3">
        <v>6000</v>
      </c>
      <c r="CU67" s="3">
        <f t="shared" si="155"/>
        <v>450000</v>
      </c>
      <c r="CV67" s="3" t="s">
        <v>125</v>
      </c>
      <c r="CW67" s="3">
        <v>30</v>
      </c>
      <c r="CX67" s="3">
        <v>6000</v>
      </c>
      <c r="CY67" s="3">
        <f t="shared" si="204"/>
        <v>180000</v>
      </c>
      <c r="CZ67" s="3" t="s">
        <v>125</v>
      </c>
      <c r="DA67" s="3">
        <v>15</v>
      </c>
      <c r="DB67" s="3">
        <v>6000</v>
      </c>
      <c r="DC67" s="3">
        <f t="shared" si="205"/>
        <v>90000</v>
      </c>
      <c r="DD67" s="3" t="s">
        <v>125</v>
      </c>
      <c r="DE67" s="3">
        <v>5</v>
      </c>
      <c r="DF67" s="3">
        <v>6000</v>
      </c>
      <c r="DG67" s="3">
        <f t="shared" si="217"/>
        <v>30000</v>
      </c>
      <c r="DH67" s="3" t="s">
        <v>125</v>
      </c>
      <c r="DI67" s="3">
        <v>100</v>
      </c>
      <c r="DJ67" s="3">
        <v>6000</v>
      </c>
      <c r="DK67" s="3">
        <f t="shared" si="158"/>
        <v>600000</v>
      </c>
      <c r="DL67" s="3" t="s">
        <v>125</v>
      </c>
      <c r="DM67" s="3"/>
      <c r="DN67" s="3">
        <v>6000</v>
      </c>
      <c r="DO67" s="3">
        <f t="shared" si="159"/>
        <v>0</v>
      </c>
      <c r="DP67" s="3" t="s">
        <v>125</v>
      </c>
      <c r="DQ67" s="3"/>
      <c r="DR67" s="3">
        <v>6000</v>
      </c>
      <c r="DS67" s="3">
        <f t="shared" si="213"/>
        <v>0</v>
      </c>
      <c r="DT67" s="6">
        <f t="shared" si="214"/>
        <v>1350000</v>
      </c>
      <c r="DU67" s="2" t="s">
        <v>157</v>
      </c>
      <c r="DV67" s="3">
        <f t="shared" si="189"/>
        <v>40000</v>
      </c>
      <c r="DW67" s="3">
        <f t="shared" si="190"/>
        <v>50</v>
      </c>
      <c r="DX67" s="3">
        <f t="shared" si="168"/>
        <v>2000000</v>
      </c>
      <c r="DY67" s="3" t="s">
        <v>127</v>
      </c>
      <c r="DZ67" s="3">
        <f t="shared" si="191"/>
        <v>0</v>
      </c>
      <c r="EA67" s="2">
        <v>50000</v>
      </c>
      <c r="EB67" s="3">
        <f t="shared" si="169"/>
        <v>0</v>
      </c>
      <c r="EC67" s="2" t="s">
        <v>127</v>
      </c>
      <c r="ED67" s="3">
        <f t="shared" si="192"/>
        <v>10</v>
      </c>
      <c r="EE67" s="3">
        <v>80000</v>
      </c>
      <c r="EF67" s="3">
        <f t="shared" si="170"/>
        <v>800000</v>
      </c>
      <c r="EG67" s="2" t="s">
        <v>157</v>
      </c>
      <c r="EH67" s="3">
        <f t="shared" si="193"/>
        <v>300</v>
      </c>
      <c r="EI67" s="3">
        <v>6000</v>
      </c>
      <c r="EJ67" s="7">
        <f t="shared" si="124"/>
        <v>1800000</v>
      </c>
      <c r="EK67" s="2" t="s">
        <v>157</v>
      </c>
      <c r="EL67" s="13">
        <f t="shared" si="149"/>
        <v>100</v>
      </c>
      <c r="EM67" s="3">
        <v>3000</v>
      </c>
      <c r="EN67" s="3">
        <f t="shared" si="171"/>
        <v>300000</v>
      </c>
      <c r="EO67" s="3" t="s">
        <v>126</v>
      </c>
      <c r="EP67" s="3">
        <f t="shared" si="194"/>
        <v>200</v>
      </c>
      <c r="EQ67" s="3">
        <v>1000</v>
      </c>
      <c r="ER67" s="7">
        <f t="shared" si="195"/>
        <v>200000</v>
      </c>
      <c r="ES67" s="3" t="s">
        <v>124</v>
      </c>
      <c r="ET67" s="2">
        <v>1</v>
      </c>
      <c r="EU67" s="3">
        <v>60000</v>
      </c>
      <c r="EV67" s="3">
        <f t="shared" si="172"/>
        <v>60000</v>
      </c>
      <c r="EW67" s="3" t="s">
        <v>124</v>
      </c>
      <c r="EX67" s="13"/>
      <c r="EY67" s="3">
        <v>60000</v>
      </c>
      <c r="EZ67" s="3">
        <f t="shared" si="173"/>
        <v>0</v>
      </c>
      <c r="FA67" s="3" t="s">
        <v>170</v>
      </c>
      <c r="FB67" s="14"/>
      <c r="FC67" s="3">
        <v>1000</v>
      </c>
      <c r="FD67" s="3">
        <f t="shared" si="174"/>
        <v>0</v>
      </c>
      <c r="FE67" s="3" t="s">
        <v>126</v>
      </c>
      <c r="FF67" s="3">
        <f t="shared" si="196"/>
        <v>0</v>
      </c>
      <c r="FG67" s="3">
        <v>6000</v>
      </c>
      <c r="FH67" s="3">
        <f t="shared" si="175"/>
        <v>0</v>
      </c>
      <c r="FI67" s="1">
        <f t="shared" si="176"/>
        <v>5160000</v>
      </c>
      <c r="FJ67" s="3" t="s">
        <v>139</v>
      </c>
      <c r="FK67" s="2">
        <v>40</v>
      </c>
      <c r="FL67" s="2">
        <v>6000</v>
      </c>
      <c r="FM67" s="3">
        <f t="shared" si="177"/>
        <v>240000</v>
      </c>
      <c r="FN67" s="3" t="s">
        <v>139</v>
      </c>
      <c r="FO67" s="2"/>
      <c r="FP67" s="3">
        <v>6000</v>
      </c>
      <c r="FQ67" s="3">
        <f t="shared" si="197"/>
        <v>0</v>
      </c>
      <c r="FR67" s="3" t="s">
        <v>139</v>
      </c>
      <c r="FS67" s="13"/>
      <c r="FT67" s="15">
        <v>6000</v>
      </c>
      <c r="FU67" s="3">
        <f t="shared" si="178"/>
        <v>0</v>
      </c>
      <c r="FV67" s="3" t="s">
        <v>139</v>
      </c>
      <c r="FW67" s="14"/>
      <c r="FX67" s="3">
        <v>8000</v>
      </c>
      <c r="FY67" s="3">
        <f t="shared" si="179"/>
        <v>0</v>
      </c>
      <c r="FZ67" s="3" t="s">
        <v>139</v>
      </c>
      <c r="GA67" s="3">
        <v>2</v>
      </c>
      <c r="GB67" s="3">
        <v>8000</v>
      </c>
      <c r="GC67" s="3">
        <f t="shared" si="180"/>
        <v>16000</v>
      </c>
      <c r="GD67" s="3" t="s">
        <v>139</v>
      </c>
      <c r="GE67" s="3">
        <v>10</v>
      </c>
      <c r="GF67" s="3">
        <v>10000</v>
      </c>
      <c r="GG67" s="3">
        <f t="shared" si="181"/>
        <v>100000</v>
      </c>
      <c r="GH67" s="3" t="s">
        <v>139</v>
      </c>
      <c r="GI67" s="13"/>
      <c r="GJ67" s="13"/>
      <c r="GK67" s="3">
        <f t="shared" si="182"/>
        <v>0</v>
      </c>
      <c r="GL67" s="92">
        <f t="shared" si="183"/>
        <v>356000</v>
      </c>
      <c r="GM67" s="8">
        <f t="shared" si="184"/>
        <v>7086000</v>
      </c>
      <c r="GN67" s="8">
        <f t="shared" si="185"/>
        <v>10000</v>
      </c>
      <c r="GO67" s="101">
        <v>1800</v>
      </c>
      <c r="GP67" s="8">
        <f t="shared" si="198"/>
        <v>18000000</v>
      </c>
      <c r="GQ67" s="8">
        <f t="shared" si="186"/>
        <v>39600000</v>
      </c>
      <c r="GR67" s="8">
        <f t="shared" si="187"/>
        <v>10914000</v>
      </c>
      <c r="GS67" s="8">
        <f t="shared" si="188"/>
        <v>32514000</v>
      </c>
      <c r="GT67" s="15" t="s">
        <v>1806</v>
      </c>
      <c r="GU67" s="47" t="s">
        <v>1805</v>
      </c>
    </row>
    <row r="68" spans="1:203" s="26" customFormat="1" ht="158.25" customHeight="1">
      <c r="A68" s="44">
        <v>69</v>
      </c>
      <c r="B68" s="23" t="s">
        <v>817</v>
      </c>
      <c r="C68" s="15" t="s">
        <v>1149</v>
      </c>
      <c r="D68" s="15" t="s">
        <v>1150</v>
      </c>
      <c r="E68" s="13" t="s">
        <v>818</v>
      </c>
      <c r="F68" s="15" t="s">
        <v>818</v>
      </c>
      <c r="G68" s="15" t="s">
        <v>1151</v>
      </c>
      <c r="H68" s="13" t="s">
        <v>1153</v>
      </c>
      <c r="I68" s="15" t="s">
        <v>1152</v>
      </c>
      <c r="J68" s="13" t="s">
        <v>819</v>
      </c>
      <c r="K68" s="15" t="s">
        <v>1154</v>
      </c>
      <c r="L68" s="15" t="s">
        <v>1155</v>
      </c>
      <c r="M68" s="13" t="s">
        <v>1156</v>
      </c>
      <c r="N68" s="13" t="s">
        <v>1157</v>
      </c>
      <c r="O68" s="13" t="s">
        <v>820</v>
      </c>
      <c r="P68" s="15" t="s">
        <v>1158</v>
      </c>
      <c r="Q68" s="15" t="s">
        <v>1159</v>
      </c>
      <c r="R68" s="13"/>
      <c r="S68" s="13"/>
      <c r="T68" s="13"/>
      <c r="U68" s="15">
        <v>913</v>
      </c>
      <c r="V68" s="15">
        <v>1095</v>
      </c>
      <c r="W68" s="15" t="s">
        <v>1160</v>
      </c>
      <c r="X68" s="13">
        <v>5</v>
      </c>
      <c r="Y68" s="13">
        <v>10</v>
      </c>
      <c r="Z68" s="15" t="s">
        <v>1161</v>
      </c>
      <c r="AA68" s="15" t="s">
        <v>1162</v>
      </c>
      <c r="AB68" s="15" t="s">
        <v>1163</v>
      </c>
      <c r="AC68" s="3">
        <v>50000</v>
      </c>
      <c r="AD68" s="13">
        <v>3</v>
      </c>
      <c r="AE68" s="32"/>
      <c r="AF68" s="3">
        <v>80000</v>
      </c>
      <c r="AG68" s="3">
        <f t="shared" si="211"/>
        <v>150000</v>
      </c>
      <c r="AH68" s="15" t="s">
        <v>1164</v>
      </c>
      <c r="AI68" s="13">
        <v>200</v>
      </c>
      <c r="AJ68" s="15">
        <v>1000</v>
      </c>
      <c r="AK68" s="13">
        <v>80</v>
      </c>
      <c r="AL68" s="15">
        <v>6000</v>
      </c>
      <c r="AM68" s="15"/>
      <c r="AN68" s="15">
        <v>3000</v>
      </c>
      <c r="AO68" s="42"/>
      <c r="AP68" s="15">
        <v>6000</v>
      </c>
      <c r="AQ68" s="2">
        <f t="shared" si="199"/>
        <v>680000</v>
      </c>
      <c r="AR68" s="15" t="s">
        <v>1166</v>
      </c>
      <c r="AS68" s="15" t="s">
        <v>1165</v>
      </c>
      <c r="AT68" s="2" t="s">
        <v>139</v>
      </c>
      <c r="AU68" s="36"/>
      <c r="AV68" s="3">
        <v>6000</v>
      </c>
      <c r="AW68" s="2">
        <f t="shared" si="134"/>
        <v>0</v>
      </c>
      <c r="AX68" s="3" t="s">
        <v>139</v>
      </c>
      <c r="AY68" s="13"/>
      <c r="AZ68" s="3">
        <v>6000</v>
      </c>
      <c r="BA68" s="3">
        <f t="shared" si="164"/>
        <v>0</v>
      </c>
      <c r="BB68" s="3" t="s">
        <v>139</v>
      </c>
      <c r="BC68" s="34"/>
      <c r="BD68" s="3">
        <v>6000</v>
      </c>
      <c r="BE68" s="3">
        <f t="shared" si="165"/>
        <v>0</v>
      </c>
      <c r="BF68" s="3" t="s">
        <v>125</v>
      </c>
      <c r="BG68" s="3"/>
      <c r="BH68" s="3">
        <v>6000</v>
      </c>
      <c r="BI68" s="3">
        <f t="shared" si="215"/>
        <v>0</v>
      </c>
      <c r="BJ68" s="13" t="s">
        <v>20</v>
      </c>
      <c r="BK68" s="14"/>
      <c r="BL68" s="3">
        <v>1000</v>
      </c>
      <c r="BM68" s="3">
        <f t="shared" si="62"/>
        <v>0</v>
      </c>
      <c r="BN68" s="2" t="s">
        <v>126</v>
      </c>
      <c r="BO68" s="13"/>
      <c r="BP68" s="2">
        <v>3000</v>
      </c>
      <c r="BQ68" s="13"/>
      <c r="BR68" s="2" t="s">
        <v>126</v>
      </c>
      <c r="BS68" s="13"/>
      <c r="BT68" s="2">
        <f>6000</f>
        <v>6000</v>
      </c>
      <c r="BU68" s="3">
        <f t="shared" si="135"/>
        <v>0</v>
      </c>
      <c r="BV68" s="2" t="s">
        <v>126</v>
      </c>
      <c r="BW68" s="2"/>
      <c r="BX68" s="2">
        <v>6000</v>
      </c>
      <c r="BY68" s="3">
        <f t="shared" si="136"/>
        <v>0</v>
      </c>
      <c r="BZ68" s="92">
        <f t="shared" si="216"/>
        <v>0</v>
      </c>
      <c r="CA68" s="2" t="s">
        <v>139</v>
      </c>
      <c r="CB68" s="3">
        <v>5</v>
      </c>
      <c r="CC68" s="3">
        <v>8000</v>
      </c>
      <c r="CD68" s="3">
        <f t="shared" si="200"/>
        <v>40000</v>
      </c>
      <c r="CE68" s="2" t="s">
        <v>139</v>
      </c>
      <c r="CF68" s="2">
        <v>30</v>
      </c>
      <c r="CG68" s="2">
        <v>6000</v>
      </c>
      <c r="CH68" s="3">
        <f t="shared" si="201"/>
        <v>180000</v>
      </c>
      <c r="CI68" s="3" t="s">
        <v>139</v>
      </c>
      <c r="CJ68" s="3">
        <v>1</v>
      </c>
      <c r="CK68" s="13"/>
      <c r="CL68" s="3">
        <f t="shared" si="166"/>
        <v>0</v>
      </c>
      <c r="CM68" s="5">
        <f t="shared" si="167"/>
        <v>220000</v>
      </c>
      <c r="CN68" s="3" t="s">
        <v>125</v>
      </c>
      <c r="CO68" s="3">
        <v>0</v>
      </c>
      <c r="CP68" s="3">
        <v>6000</v>
      </c>
      <c r="CQ68" s="3">
        <f t="shared" si="154"/>
        <v>0</v>
      </c>
      <c r="CR68" s="3" t="s">
        <v>125</v>
      </c>
      <c r="CS68" s="3">
        <v>75</v>
      </c>
      <c r="CT68" s="3">
        <v>6000</v>
      </c>
      <c r="CU68" s="3">
        <f t="shared" si="155"/>
        <v>450000</v>
      </c>
      <c r="CV68" s="3" t="s">
        <v>125</v>
      </c>
      <c r="CW68" s="3">
        <v>30</v>
      </c>
      <c r="CX68" s="3">
        <v>6000</v>
      </c>
      <c r="CY68" s="3">
        <f t="shared" si="204"/>
        <v>180000</v>
      </c>
      <c r="CZ68" s="3" t="s">
        <v>125</v>
      </c>
      <c r="DA68" s="3">
        <v>15</v>
      </c>
      <c r="DB68" s="3">
        <v>6000</v>
      </c>
      <c r="DC68" s="3">
        <f t="shared" si="205"/>
        <v>90000</v>
      </c>
      <c r="DD68" s="3" t="s">
        <v>125</v>
      </c>
      <c r="DE68" s="3">
        <v>5</v>
      </c>
      <c r="DF68" s="3">
        <v>6000</v>
      </c>
      <c r="DG68" s="3">
        <f t="shared" si="217"/>
        <v>30000</v>
      </c>
      <c r="DH68" s="3" t="s">
        <v>125</v>
      </c>
      <c r="DI68" s="3">
        <v>100</v>
      </c>
      <c r="DJ68" s="3">
        <v>6000</v>
      </c>
      <c r="DK68" s="3">
        <f t="shared" si="158"/>
        <v>600000</v>
      </c>
      <c r="DL68" s="3" t="s">
        <v>125</v>
      </c>
      <c r="DM68" s="3"/>
      <c r="DN68" s="3">
        <v>6000</v>
      </c>
      <c r="DO68" s="3">
        <f t="shared" si="159"/>
        <v>0</v>
      </c>
      <c r="DP68" s="3" t="s">
        <v>125</v>
      </c>
      <c r="DQ68" s="3"/>
      <c r="DR68" s="3">
        <v>6000</v>
      </c>
      <c r="DS68" s="3">
        <f t="shared" si="213"/>
        <v>0</v>
      </c>
      <c r="DT68" s="6">
        <f t="shared" si="214"/>
        <v>1350000</v>
      </c>
      <c r="DU68" s="2" t="s">
        <v>157</v>
      </c>
      <c r="DV68" s="3">
        <f t="shared" si="189"/>
        <v>0</v>
      </c>
      <c r="DW68" s="3">
        <f t="shared" si="190"/>
        <v>0</v>
      </c>
      <c r="DX68" s="3">
        <f t="shared" si="168"/>
        <v>0</v>
      </c>
      <c r="DY68" s="3" t="s">
        <v>127</v>
      </c>
      <c r="DZ68" s="3">
        <f t="shared" si="191"/>
        <v>3</v>
      </c>
      <c r="EA68" s="2">
        <v>50000</v>
      </c>
      <c r="EB68" s="3">
        <f t="shared" si="169"/>
        <v>150000</v>
      </c>
      <c r="EC68" s="2" t="s">
        <v>127</v>
      </c>
      <c r="ED68" s="3">
        <f t="shared" si="192"/>
        <v>0</v>
      </c>
      <c r="EE68" s="3">
        <v>80000</v>
      </c>
      <c r="EF68" s="3">
        <f t="shared" si="170"/>
        <v>0</v>
      </c>
      <c r="EG68" s="2" t="s">
        <v>157</v>
      </c>
      <c r="EH68" s="3">
        <f t="shared" si="193"/>
        <v>80</v>
      </c>
      <c r="EI68" s="3">
        <v>6000</v>
      </c>
      <c r="EJ68" s="7">
        <f t="shared" si="124"/>
        <v>480000</v>
      </c>
      <c r="EK68" s="2" t="s">
        <v>157</v>
      </c>
      <c r="EL68" s="13">
        <f t="shared" si="149"/>
        <v>0</v>
      </c>
      <c r="EM68" s="3">
        <v>3000</v>
      </c>
      <c r="EN68" s="3">
        <f t="shared" si="171"/>
        <v>0</v>
      </c>
      <c r="EO68" s="3" t="s">
        <v>126</v>
      </c>
      <c r="EP68" s="3">
        <f t="shared" si="194"/>
        <v>200</v>
      </c>
      <c r="EQ68" s="3">
        <v>1000</v>
      </c>
      <c r="ER68" s="7">
        <f t="shared" si="195"/>
        <v>200000</v>
      </c>
      <c r="ES68" s="3" t="s">
        <v>124</v>
      </c>
      <c r="ET68" s="2">
        <v>1</v>
      </c>
      <c r="EU68" s="3">
        <v>60000</v>
      </c>
      <c r="EV68" s="3">
        <f t="shared" si="172"/>
        <v>60000</v>
      </c>
      <c r="EW68" s="3" t="s">
        <v>124</v>
      </c>
      <c r="EX68" s="13"/>
      <c r="EY68" s="3">
        <v>60000</v>
      </c>
      <c r="EZ68" s="3">
        <f t="shared" si="173"/>
        <v>0</v>
      </c>
      <c r="FA68" s="3" t="s">
        <v>170</v>
      </c>
      <c r="FB68" s="14"/>
      <c r="FC68" s="3">
        <v>1000</v>
      </c>
      <c r="FD68" s="3">
        <f t="shared" si="174"/>
        <v>0</v>
      </c>
      <c r="FE68" s="3" t="s">
        <v>126</v>
      </c>
      <c r="FF68" s="3">
        <f t="shared" si="196"/>
        <v>0</v>
      </c>
      <c r="FG68" s="3">
        <v>6000</v>
      </c>
      <c r="FH68" s="3">
        <f t="shared" si="175"/>
        <v>0</v>
      </c>
      <c r="FI68" s="1">
        <f t="shared" si="176"/>
        <v>890000</v>
      </c>
      <c r="FJ68" s="3" t="s">
        <v>139</v>
      </c>
      <c r="FK68" s="2">
        <v>40</v>
      </c>
      <c r="FL68" s="2">
        <v>6000</v>
      </c>
      <c r="FM68" s="3">
        <f t="shared" si="177"/>
        <v>240000</v>
      </c>
      <c r="FN68" s="3" t="s">
        <v>139</v>
      </c>
      <c r="FO68" s="2"/>
      <c r="FP68" s="3">
        <v>6000</v>
      </c>
      <c r="FQ68" s="3">
        <f t="shared" si="197"/>
        <v>0</v>
      </c>
      <c r="FR68" s="3" t="s">
        <v>139</v>
      </c>
      <c r="FS68" s="13"/>
      <c r="FT68" s="15">
        <v>6000</v>
      </c>
      <c r="FU68" s="3">
        <f t="shared" si="178"/>
        <v>0</v>
      </c>
      <c r="FV68" s="3" t="s">
        <v>139</v>
      </c>
      <c r="FW68" s="14"/>
      <c r="FX68" s="3">
        <v>8000</v>
      </c>
      <c r="FY68" s="3">
        <f t="shared" si="179"/>
        <v>0</v>
      </c>
      <c r="FZ68" s="3" t="s">
        <v>139</v>
      </c>
      <c r="GA68" s="3">
        <v>2</v>
      </c>
      <c r="GB68" s="3">
        <v>8000</v>
      </c>
      <c r="GC68" s="3">
        <f t="shared" si="180"/>
        <v>16000</v>
      </c>
      <c r="GD68" s="3" t="s">
        <v>139</v>
      </c>
      <c r="GE68" s="3">
        <v>10</v>
      </c>
      <c r="GF68" s="3">
        <v>10000</v>
      </c>
      <c r="GG68" s="3">
        <f t="shared" si="181"/>
        <v>100000</v>
      </c>
      <c r="GH68" s="3" t="s">
        <v>139</v>
      </c>
      <c r="GI68" s="13"/>
      <c r="GJ68" s="13"/>
      <c r="GK68" s="3">
        <f t="shared" si="182"/>
        <v>0</v>
      </c>
      <c r="GL68" s="92">
        <f t="shared" si="183"/>
        <v>356000</v>
      </c>
      <c r="GM68" s="8">
        <f t="shared" si="184"/>
        <v>2816000</v>
      </c>
      <c r="GN68" s="8">
        <f t="shared" si="185"/>
        <v>5000</v>
      </c>
      <c r="GO68" s="101">
        <v>2000</v>
      </c>
      <c r="GP68" s="8">
        <f t="shared" si="198"/>
        <v>10000000</v>
      </c>
      <c r="GQ68" s="8">
        <f t="shared" si="186"/>
        <v>20000000</v>
      </c>
      <c r="GR68" s="8">
        <f t="shared" si="187"/>
        <v>7184000</v>
      </c>
      <c r="GS68" s="8">
        <f t="shared" si="188"/>
        <v>17184000</v>
      </c>
      <c r="GT68" s="15" t="s">
        <v>1807</v>
      </c>
      <c r="GU68" s="47" t="s">
        <v>1167</v>
      </c>
    </row>
    <row r="69" spans="1:203" s="38" customFormat="1" ht="158.25" customHeight="1">
      <c r="A69" s="44">
        <v>70</v>
      </c>
      <c r="B69" s="23" t="s">
        <v>786</v>
      </c>
      <c r="C69" s="15" t="s">
        <v>1116</v>
      </c>
      <c r="D69" s="15" t="s">
        <v>1117</v>
      </c>
      <c r="E69" s="15" t="s">
        <v>1122</v>
      </c>
      <c r="F69" s="15" t="s">
        <v>1133</v>
      </c>
      <c r="G69" s="13" t="s">
        <v>1134</v>
      </c>
      <c r="H69" s="13" t="s">
        <v>795</v>
      </c>
      <c r="I69" s="15" t="s">
        <v>1135</v>
      </c>
      <c r="J69" s="13" t="s">
        <v>1125</v>
      </c>
      <c r="K69" s="13" t="s">
        <v>1144</v>
      </c>
      <c r="L69" s="15" t="s">
        <v>1136</v>
      </c>
      <c r="M69" s="13" t="s">
        <v>1126</v>
      </c>
      <c r="N69" s="15" t="s">
        <v>1138</v>
      </c>
      <c r="O69" s="15" t="s">
        <v>1127</v>
      </c>
      <c r="P69" s="13" t="s">
        <v>1137</v>
      </c>
      <c r="Q69" s="15" t="s">
        <v>1128</v>
      </c>
      <c r="R69" s="15">
        <v>0.2</v>
      </c>
      <c r="S69" s="15">
        <v>0.3</v>
      </c>
      <c r="T69" s="13">
        <v>200000</v>
      </c>
      <c r="U69" s="13">
        <v>90</v>
      </c>
      <c r="V69" s="13">
        <v>100</v>
      </c>
      <c r="W69" s="15" t="s">
        <v>1140</v>
      </c>
      <c r="X69" s="15">
        <v>10</v>
      </c>
      <c r="Y69" s="15">
        <v>20</v>
      </c>
      <c r="Z69" s="15" t="s">
        <v>1142</v>
      </c>
      <c r="AA69" s="15" t="s">
        <v>1143</v>
      </c>
      <c r="AB69" s="15" t="s">
        <v>1141</v>
      </c>
      <c r="AC69" s="3">
        <v>50000</v>
      </c>
      <c r="AD69" s="13">
        <v>10</v>
      </c>
      <c r="AE69" s="13"/>
      <c r="AF69" s="3">
        <v>80000</v>
      </c>
      <c r="AG69" s="3">
        <f t="shared" si="211"/>
        <v>500000</v>
      </c>
      <c r="AH69" s="15" t="s">
        <v>1132</v>
      </c>
      <c r="AI69" s="13"/>
      <c r="AJ69" s="15">
        <v>1000</v>
      </c>
      <c r="AK69" s="13">
        <v>150</v>
      </c>
      <c r="AL69" s="15">
        <v>6000</v>
      </c>
      <c r="AM69" s="15"/>
      <c r="AN69" s="15">
        <v>3000</v>
      </c>
      <c r="AO69" s="42">
        <v>100</v>
      </c>
      <c r="AP69" s="15">
        <v>6000</v>
      </c>
      <c r="AQ69" s="2">
        <f t="shared" si="199"/>
        <v>1500000</v>
      </c>
      <c r="AR69" s="15" t="s">
        <v>1146</v>
      </c>
      <c r="AS69" s="15" t="s">
        <v>1147</v>
      </c>
      <c r="AT69" s="2" t="s">
        <v>139</v>
      </c>
      <c r="AU69" s="13">
        <v>7.5</v>
      </c>
      <c r="AV69" s="3">
        <v>6000</v>
      </c>
      <c r="AW69" s="2">
        <f t="shared" si="134"/>
        <v>45000</v>
      </c>
      <c r="AX69" s="2" t="s">
        <v>139</v>
      </c>
      <c r="AY69" s="13">
        <v>5</v>
      </c>
      <c r="AZ69" s="3">
        <v>6000</v>
      </c>
      <c r="BA69" s="2">
        <f t="shared" si="164"/>
        <v>30000</v>
      </c>
      <c r="BB69" s="2" t="s">
        <v>139</v>
      </c>
      <c r="BC69" s="13">
        <v>2</v>
      </c>
      <c r="BD69" s="3">
        <v>6000</v>
      </c>
      <c r="BE69" s="3">
        <f t="shared" si="165"/>
        <v>12000</v>
      </c>
      <c r="BF69" s="3" t="s">
        <v>125</v>
      </c>
      <c r="BG69" s="2">
        <v>2</v>
      </c>
      <c r="BH69" s="3">
        <v>6000</v>
      </c>
      <c r="BI69" s="3">
        <f t="shared" si="215"/>
        <v>12000</v>
      </c>
      <c r="BJ69" s="3" t="s">
        <v>126</v>
      </c>
      <c r="BK69" s="13"/>
      <c r="BL69" s="3">
        <v>1000</v>
      </c>
      <c r="BM69" s="3">
        <f t="shared" ref="BM69:BM70" si="218">BK69*BL69</f>
        <v>0</v>
      </c>
      <c r="BN69" s="13" t="s">
        <v>20</v>
      </c>
      <c r="BO69" s="13"/>
      <c r="BP69" s="2">
        <v>3000</v>
      </c>
      <c r="BQ69" s="3">
        <f>BO69*BP69</f>
        <v>0</v>
      </c>
      <c r="BR69" s="2" t="s">
        <v>126</v>
      </c>
      <c r="BS69" s="13"/>
      <c r="BT69" s="2">
        <f>6000</f>
        <v>6000</v>
      </c>
      <c r="BU69" s="3">
        <f t="shared" si="135"/>
        <v>0</v>
      </c>
      <c r="BV69" s="2" t="s">
        <v>126</v>
      </c>
      <c r="BW69" s="13">
        <v>9</v>
      </c>
      <c r="BX69" s="2">
        <v>6000</v>
      </c>
      <c r="BY69" s="3">
        <f t="shared" si="136"/>
        <v>54000</v>
      </c>
      <c r="BZ69" s="92">
        <f t="shared" si="216"/>
        <v>123000</v>
      </c>
      <c r="CA69" s="2" t="s">
        <v>139</v>
      </c>
      <c r="CB69" s="3">
        <v>5</v>
      </c>
      <c r="CC69" s="3">
        <v>8000</v>
      </c>
      <c r="CD69" s="3">
        <f t="shared" si="200"/>
        <v>40000</v>
      </c>
      <c r="CE69" s="2" t="s">
        <v>139</v>
      </c>
      <c r="CF69" s="2">
        <v>30</v>
      </c>
      <c r="CG69" s="2">
        <v>6000</v>
      </c>
      <c r="CH69" s="3">
        <f t="shared" si="201"/>
        <v>180000</v>
      </c>
      <c r="CI69" s="3" t="s">
        <v>139</v>
      </c>
      <c r="CJ69" s="3">
        <v>1</v>
      </c>
      <c r="CK69" s="14"/>
      <c r="CL69" s="3">
        <f t="shared" si="166"/>
        <v>0</v>
      </c>
      <c r="CM69" s="5">
        <f t="shared" si="167"/>
        <v>220000</v>
      </c>
      <c r="CN69" s="3" t="s">
        <v>125</v>
      </c>
      <c r="CO69" s="3">
        <v>0</v>
      </c>
      <c r="CP69" s="3">
        <v>6000</v>
      </c>
      <c r="CQ69" s="3">
        <f t="shared" si="154"/>
        <v>0</v>
      </c>
      <c r="CR69" s="3" t="s">
        <v>125</v>
      </c>
      <c r="CS69" s="3">
        <v>75</v>
      </c>
      <c r="CT69" s="3">
        <v>6000</v>
      </c>
      <c r="CU69" s="3">
        <f t="shared" si="155"/>
        <v>450000</v>
      </c>
      <c r="CV69" s="3" t="s">
        <v>125</v>
      </c>
      <c r="CW69" s="3">
        <v>30</v>
      </c>
      <c r="CX69" s="3">
        <v>6000</v>
      </c>
      <c r="CY69" s="3">
        <f t="shared" ref="CY69:CY91" si="219">CW69*CX69</f>
        <v>180000</v>
      </c>
      <c r="CZ69" s="3" t="s">
        <v>125</v>
      </c>
      <c r="DA69" s="3">
        <v>15</v>
      </c>
      <c r="DB69" s="3">
        <v>6000</v>
      </c>
      <c r="DC69" s="3">
        <f t="shared" ref="DC69:DC91" si="220">DA69*DB69</f>
        <v>90000</v>
      </c>
      <c r="DD69" s="3" t="s">
        <v>125</v>
      </c>
      <c r="DE69" s="3">
        <v>5</v>
      </c>
      <c r="DF69" s="3">
        <v>6000</v>
      </c>
      <c r="DG69" s="3">
        <f t="shared" si="121"/>
        <v>30000</v>
      </c>
      <c r="DH69" s="3" t="s">
        <v>125</v>
      </c>
      <c r="DI69" s="3">
        <v>100</v>
      </c>
      <c r="DJ69" s="3">
        <v>6000</v>
      </c>
      <c r="DK69" s="3">
        <f t="shared" si="158"/>
        <v>600000</v>
      </c>
      <c r="DL69" s="3" t="s">
        <v>125</v>
      </c>
      <c r="DM69" s="3"/>
      <c r="DN69" s="3">
        <v>6000</v>
      </c>
      <c r="DO69" s="3">
        <f t="shared" si="159"/>
        <v>0</v>
      </c>
      <c r="DP69" s="3" t="s">
        <v>125</v>
      </c>
      <c r="DQ69" s="3"/>
      <c r="DR69" s="3">
        <v>6000</v>
      </c>
      <c r="DS69" s="3">
        <f t="shared" si="213"/>
        <v>0</v>
      </c>
      <c r="DT69" s="6">
        <f t="shared" si="214"/>
        <v>1350000</v>
      </c>
      <c r="DU69" s="2" t="s">
        <v>157</v>
      </c>
      <c r="DV69" s="3">
        <f t="shared" si="189"/>
        <v>0.2</v>
      </c>
      <c r="DW69" s="3">
        <f t="shared" si="190"/>
        <v>200000</v>
      </c>
      <c r="DX69" s="3">
        <f t="shared" si="168"/>
        <v>40000</v>
      </c>
      <c r="DY69" s="3" t="s">
        <v>127</v>
      </c>
      <c r="DZ69" s="3">
        <f t="shared" si="191"/>
        <v>10</v>
      </c>
      <c r="EA69" s="2">
        <v>50000</v>
      </c>
      <c r="EB69" s="3">
        <f t="shared" si="169"/>
        <v>500000</v>
      </c>
      <c r="EC69" s="2" t="s">
        <v>127</v>
      </c>
      <c r="ED69" s="3">
        <f t="shared" si="192"/>
        <v>0</v>
      </c>
      <c r="EE69" s="3">
        <v>80000</v>
      </c>
      <c r="EF69" s="3">
        <f t="shared" si="170"/>
        <v>0</v>
      </c>
      <c r="EG69" s="2" t="s">
        <v>157</v>
      </c>
      <c r="EH69" s="3">
        <f t="shared" si="193"/>
        <v>150</v>
      </c>
      <c r="EI69" s="3">
        <v>6000</v>
      </c>
      <c r="EJ69" s="7">
        <f t="shared" si="124"/>
        <v>900000</v>
      </c>
      <c r="EK69" s="2" t="s">
        <v>157</v>
      </c>
      <c r="EL69" s="13">
        <f t="shared" si="149"/>
        <v>0</v>
      </c>
      <c r="EM69" s="3">
        <v>3000</v>
      </c>
      <c r="EN69" s="3">
        <f t="shared" si="171"/>
        <v>0</v>
      </c>
      <c r="EO69" s="3" t="s">
        <v>126</v>
      </c>
      <c r="EP69" s="3">
        <f t="shared" si="194"/>
        <v>0</v>
      </c>
      <c r="EQ69" s="3">
        <v>1000</v>
      </c>
      <c r="ER69" s="7">
        <f t="shared" si="195"/>
        <v>0</v>
      </c>
      <c r="ES69" s="3" t="s">
        <v>124</v>
      </c>
      <c r="ET69" s="2">
        <v>1</v>
      </c>
      <c r="EU69" s="3">
        <v>60000</v>
      </c>
      <c r="EV69" s="3">
        <f t="shared" si="172"/>
        <v>60000</v>
      </c>
      <c r="EW69" s="3" t="s">
        <v>124</v>
      </c>
      <c r="EX69" s="14"/>
      <c r="EY69" s="3">
        <v>60000</v>
      </c>
      <c r="EZ69" s="3">
        <f t="shared" si="173"/>
        <v>0</v>
      </c>
      <c r="FA69" s="3" t="s">
        <v>170</v>
      </c>
      <c r="FB69" s="14"/>
      <c r="FC69" s="3">
        <v>1000</v>
      </c>
      <c r="FD69" s="3">
        <f t="shared" si="174"/>
        <v>0</v>
      </c>
      <c r="FE69" s="3" t="s">
        <v>126</v>
      </c>
      <c r="FF69" s="3">
        <f t="shared" si="196"/>
        <v>100</v>
      </c>
      <c r="FG69" s="3">
        <v>6000</v>
      </c>
      <c r="FH69" s="3">
        <f t="shared" si="175"/>
        <v>600000</v>
      </c>
      <c r="FI69" s="1">
        <f t="shared" si="176"/>
        <v>2100000</v>
      </c>
      <c r="FJ69" s="3" t="s">
        <v>139</v>
      </c>
      <c r="FK69" s="2">
        <v>40</v>
      </c>
      <c r="FL69" s="2">
        <v>6000</v>
      </c>
      <c r="FM69" s="3">
        <f t="shared" si="177"/>
        <v>240000</v>
      </c>
      <c r="FN69" s="3" t="s">
        <v>139</v>
      </c>
      <c r="FO69" s="2"/>
      <c r="FP69" s="3">
        <v>6000</v>
      </c>
      <c r="FQ69" s="3">
        <f t="shared" si="197"/>
        <v>0</v>
      </c>
      <c r="FR69" s="3" t="s">
        <v>139</v>
      </c>
      <c r="FS69" s="13"/>
      <c r="FT69" s="15">
        <v>6000</v>
      </c>
      <c r="FU69" s="3">
        <f t="shared" si="178"/>
        <v>0</v>
      </c>
      <c r="FV69" s="3" t="s">
        <v>139</v>
      </c>
      <c r="FW69" s="14"/>
      <c r="FX69" s="3">
        <v>8000</v>
      </c>
      <c r="FY69" s="3">
        <f t="shared" si="179"/>
        <v>0</v>
      </c>
      <c r="FZ69" s="3" t="s">
        <v>139</v>
      </c>
      <c r="GA69" s="3">
        <v>2</v>
      </c>
      <c r="GB69" s="3">
        <v>8000</v>
      </c>
      <c r="GC69" s="3">
        <f t="shared" si="180"/>
        <v>16000</v>
      </c>
      <c r="GD69" s="3" t="s">
        <v>139</v>
      </c>
      <c r="GE69" s="3">
        <v>10</v>
      </c>
      <c r="GF69" s="3">
        <v>10000</v>
      </c>
      <c r="GG69" s="3">
        <f t="shared" si="181"/>
        <v>100000</v>
      </c>
      <c r="GH69" s="3" t="s">
        <v>139</v>
      </c>
      <c r="GI69" s="14"/>
      <c r="GJ69" s="14"/>
      <c r="GK69" s="3">
        <f t="shared" si="182"/>
        <v>0</v>
      </c>
      <c r="GL69" s="92">
        <f t="shared" si="183"/>
        <v>356000</v>
      </c>
      <c r="GM69" s="8">
        <f t="shared" si="184"/>
        <v>4149000</v>
      </c>
      <c r="GN69" s="8">
        <f t="shared" si="185"/>
        <v>10000</v>
      </c>
      <c r="GO69" s="102">
        <v>1800</v>
      </c>
      <c r="GP69" s="8">
        <f t="shared" si="198"/>
        <v>18000000</v>
      </c>
      <c r="GQ69" s="8">
        <f t="shared" si="186"/>
        <v>36000000</v>
      </c>
      <c r="GR69" s="8">
        <f t="shared" si="187"/>
        <v>13851000</v>
      </c>
      <c r="GS69" s="8">
        <f t="shared" si="188"/>
        <v>31851000</v>
      </c>
      <c r="GT69" s="15" t="s">
        <v>1808</v>
      </c>
      <c r="GU69" s="47" t="s">
        <v>1148</v>
      </c>
    </row>
    <row r="70" spans="1:203" s="38" customFormat="1" ht="158.25" customHeight="1">
      <c r="A70" s="44">
        <v>71</v>
      </c>
      <c r="B70" s="23" t="s">
        <v>786</v>
      </c>
      <c r="C70" s="15" t="s">
        <v>1116</v>
      </c>
      <c r="D70" s="15" t="s">
        <v>1119</v>
      </c>
      <c r="E70" s="15" t="s">
        <v>1120</v>
      </c>
      <c r="F70" s="15" t="s">
        <v>1121</v>
      </c>
      <c r="G70" s="13" t="s">
        <v>1123</v>
      </c>
      <c r="H70" s="13" t="s">
        <v>795</v>
      </c>
      <c r="I70" s="15" t="s">
        <v>1124</v>
      </c>
      <c r="J70" s="13" t="s">
        <v>1125</v>
      </c>
      <c r="K70" s="15" t="s">
        <v>1145</v>
      </c>
      <c r="L70" s="15" t="s">
        <v>1070</v>
      </c>
      <c r="M70" s="13" t="s">
        <v>1126</v>
      </c>
      <c r="N70" s="15" t="s">
        <v>1130</v>
      </c>
      <c r="O70" s="15" t="s">
        <v>1127</v>
      </c>
      <c r="P70" s="13" t="s">
        <v>1129</v>
      </c>
      <c r="Q70" s="15" t="s">
        <v>1128</v>
      </c>
      <c r="R70" s="15">
        <v>0.15</v>
      </c>
      <c r="S70" s="15">
        <v>0.2</v>
      </c>
      <c r="T70" s="15">
        <v>300000</v>
      </c>
      <c r="U70" s="13">
        <v>90</v>
      </c>
      <c r="V70" s="13">
        <v>110</v>
      </c>
      <c r="W70" s="15" t="s">
        <v>1139</v>
      </c>
      <c r="X70" s="15">
        <v>10</v>
      </c>
      <c r="Y70" s="15">
        <v>25</v>
      </c>
      <c r="Z70" s="15" t="s">
        <v>1142</v>
      </c>
      <c r="AA70" s="15" t="s">
        <v>1143</v>
      </c>
      <c r="AB70" s="15" t="s">
        <v>1131</v>
      </c>
      <c r="AC70" s="3">
        <v>50000</v>
      </c>
      <c r="AD70" s="13">
        <v>10</v>
      </c>
      <c r="AE70" s="13"/>
      <c r="AF70" s="3">
        <v>80000</v>
      </c>
      <c r="AG70" s="3">
        <f t="shared" si="211"/>
        <v>500000</v>
      </c>
      <c r="AH70" s="15" t="s">
        <v>1132</v>
      </c>
      <c r="AI70" s="13"/>
      <c r="AJ70" s="15">
        <v>1000</v>
      </c>
      <c r="AK70" s="13">
        <v>150</v>
      </c>
      <c r="AL70" s="15">
        <v>6000</v>
      </c>
      <c r="AM70" s="15"/>
      <c r="AN70" s="15">
        <v>3000</v>
      </c>
      <c r="AO70" s="42">
        <v>100</v>
      </c>
      <c r="AP70" s="15">
        <v>6000</v>
      </c>
      <c r="AQ70" s="2">
        <f t="shared" si="199"/>
        <v>1500000</v>
      </c>
      <c r="AR70" s="15" t="s">
        <v>1146</v>
      </c>
      <c r="AS70" s="15" t="s">
        <v>1147</v>
      </c>
      <c r="AT70" s="2" t="s">
        <v>139</v>
      </c>
      <c r="AU70" s="13">
        <v>7.5</v>
      </c>
      <c r="AV70" s="3">
        <v>6000</v>
      </c>
      <c r="AW70" s="2">
        <f t="shared" si="134"/>
        <v>45000</v>
      </c>
      <c r="AX70" s="2" t="s">
        <v>139</v>
      </c>
      <c r="AY70" s="13">
        <v>5</v>
      </c>
      <c r="AZ70" s="3">
        <v>6000</v>
      </c>
      <c r="BA70" s="2">
        <f t="shared" si="164"/>
        <v>30000</v>
      </c>
      <c r="BB70" s="2" t="s">
        <v>139</v>
      </c>
      <c r="BC70" s="13">
        <v>2</v>
      </c>
      <c r="BD70" s="3">
        <v>6000</v>
      </c>
      <c r="BE70" s="3">
        <f t="shared" si="165"/>
        <v>12000</v>
      </c>
      <c r="BF70" s="3" t="s">
        <v>125</v>
      </c>
      <c r="BG70" s="2">
        <v>2</v>
      </c>
      <c r="BH70" s="3">
        <v>6000</v>
      </c>
      <c r="BI70" s="3">
        <f t="shared" si="215"/>
        <v>12000</v>
      </c>
      <c r="BJ70" s="3" t="s">
        <v>126</v>
      </c>
      <c r="BK70" s="13"/>
      <c r="BL70" s="3">
        <v>1000</v>
      </c>
      <c r="BM70" s="3">
        <f t="shared" si="218"/>
        <v>0</v>
      </c>
      <c r="BN70" s="13" t="s">
        <v>20</v>
      </c>
      <c r="BO70" s="13"/>
      <c r="BP70" s="2">
        <v>3000</v>
      </c>
      <c r="BQ70" s="3">
        <f>BO70*BP70</f>
        <v>0</v>
      </c>
      <c r="BR70" s="2" t="s">
        <v>126</v>
      </c>
      <c r="BS70" s="13"/>
      <c r="BT70" s="2">
        <f>6000</f>
        <v>6000</v>
      </c>
      <c r="BU70" s="3">
        <f t="shared" si="135"/>
        <v>0</v>
      </c>
      <c r="BV70" s="2" t="s">
        <v>126</v>
      </c>
      <c r="BW70" s="13">
        <v>9</v>
      </c>
      <c r="BX70" s="2">
        <v>6000</v>
      </c>
      <c r="BY70" s="3">
        <f t="shared" si="136"/>
        <v>54000</v>
      </c>
      <c r="BZ70" s="92">
        <f t="shared" si="216"/>
        <v>123000</v>
      </c>
      <c r="CA70" s="2" t="s">
        <v>139</v>
      </c>
      <c r="CB70" s="3">
        <v>5</v>
      </c>
      <c r="CC70" s="3">
        <v>8000</v>
      </c>
      <c r="CD70" s="3">
        <f t="shared" si="200"/>
        <v>40000</v>
      </c>
      <c r="CE70" s="2" t="s">
        <v>139</v>
      </c>
      <c r="CF70" s="2">
        <v>30</v>
      </c>
      <c r="CG70" s="2">
        <v>6000</v>
      </c>
      <c r="CH70" s="3">
        <f t="shared" si="201"/>
        <v>180000</v>
      </c>
      <c r="CI70" s="3" t="s">
        <v>139</v>
      </c>
      <c r="CJ70" s="3">
        <v>1</v>
      </c>
      <c r="CK70" s="14"/>
      <c r="CL70" s="3">
        <f t="shared" ref="CL70" si="221">CJ70*CK70</f>
        <v>0</v>
      </c>
      <c r="CM70" s="5">
        <f t="shared" ref="CM70" si="222">CD70+CH70+CL70</f>
        <v>220000</v>
      </c>
      <c r="CN70" s="3" t="s">
        <v>125</v>
      </c>
      <c r="CO70" s="3">
        <v>0</v>
      </c>
      <c r="CP70" s="3">
        <v>6000</v>
      </c>
      <c r="CQ70" s="3">
        <f t="shared" si="154"/>
        <v>0</v>
      </c>
      <c r="CR70" s="3" t="s">
        <v>125</v>
      </c>
      <c r="CS70" s="3">
        <v>75</v>
      </c>
      <c r="CT70" s="3">
        <v>6000</v>
      </c>
      <c r="CU70" s="3">
        <f t="shared" si="155"/>
        <v>450000</v>
      </c>
      <c r="CV70" s="3" t="s">
        <v>125</v>
      </c>
      <c r="CW70" s="3">
        <v>30</v>
      </c>
      <c r="CX70" s="3">
        <v>6000</v>
      </c>
      <c r="CY70" s="3">
        <f t="shared" si="219"/>
        <v>180000</v>
      </c>
      <c r="CZ70" s="3" t="s">
        <v>125</v>
      </c>
      <c r="DA70" s="3">
        <v>15</v>
      </c>
      <c r="DB70" s="3">
        <v>6000</v>
      </c>
      <c r="DC70" s="3">
        <f t="shared" si="220"/>
        <v>90000</v>
      </c>
      <c r="DD70" s="3" t="s">
        <v>125</v>
      </c>
      <c r="DE70" s="3">
        <v>5</v>
      </c>
      <c r="DF70" s="3">
        <v>6000</v>
      </c>
      <c r="DG70" s="3">
        <f t="shared" si="121"/>
        <v>30000</v>
      </c>
      <c r="DH70" s="3" t="s">
        <v>125</v>
      </c>
      <c r="DI70" s="3">
        <v>100</v>
      </c>
      <c r="DJ70" s="3">
        <v>6000</v>
      </c>
      <c r="DK70" s="3">
        <f t="shared" si="158"/>
        <v>600000</v>
      </c>
      <c r="DL70" s="3" t="s">
        <v>125</v>
      </c>
      <c r="DM70" s="3"/>
      <c r="DN70" s="3">
        <v>6000</v>
      </c>
      <c r="DO70" s="3">
        <f t="shared" si="159"/>
        <v>0</v>
      </c>
      <c r="DP70" s="3" t="s">
        <v>125</v>
      </c>
      <c r="DQ70" s="3"/>
      <c r="DR70" s="3">
        <v>6000</v>
      </c>
      <c r="DS70" s="3">
        <f t="shared" si="213"/>
        <v>0</v>
      </c>
      <c r="DT70" s="6">
        <f t="shared" si="214"/>
        <v>1350000</v>
      </c>
      <c r="DU70" s="2" t="s">
        <v>157</v>
      </c>
      <c r="DV70" s="3">
        <f t="shared" ref="DV70" si="223">R70</f>
        <v>0.15</v>
      </c>
      <c r="DW70" s="3">
        <f t="shared" ref="DW70" si="224">T70</f>
        <v>300000</v>
      </c>
      <c r="DX70" s="3">
        <f t="shared" ref="DX70" si="225">DV70*DW70</f>
        <v>45000</v>
      </c>
      <c r="DY70" s="3" t="s">
        <v>127</v>
      </c>
      <c r="DZ70" s="3">
        <f t="shared" ref="DZ70" si="226">AD70</f>
        <v>10</v>
      </c>
      <c r="EA70" s="2">
        <v>50000</v>
      </c>
      <c r="EB70" s="3">
        <f t="shared" ref="EB70" si="227">DZ70*EA70</f>
        <v>500000</v>
      </c>
      <c r="EC70" s="2" t="s">
        <v>127</v>
      </c>
      <c r="ED70" s="3">
        <f t="shared" ref="ED70" si="228">AE70</f>
        <v>0</v>
      </c>
      <c r="EE70" s="3">
        <v>80000</v>
      </c>
      <c r="EF70" s="3">
        <f t="shared" ref="EF70" si="229">ED70*EE70</f>
        <v>0</v>
      </c>
      <c r="EG70" s="2" t="s">
        <v>157</v>
      </c>
      <c r="EH70" s="3">
        <f t="shared" ref="EH70" si="230">AK70</f>
        <v>150</v>
      </c>
      <c r="EI70" s="3">
        <v>6000</v>
      </c>
      <c r="EJ70" s="7">
        <f t="shared" ref="EJ70" si="231">EH70*EI70</f>
        <v>900000</v>
      </c>
      <c r="EK70" s="2" t="s">
        <v>157</v>
      </c>
      <c r="EL70" s="13">
        <f t="shared" ref="EL70" si="232">AM70</f>
        <v>0</v>
      </c>
      <c r="EM70" s="3">
        <v>3000</v>
      </c>
      <c r="EN70" s="3">
        <f t="shared" ref="EN70" si="233">EL70*EM70</f>
        <v>0</v>
      </c>
      <c r="EO70" s="3" t="s">
        <v>126</v>
      </c>
      <c r="EP70" s="3">
        <f t="shared" ref="EP70" si="234">AI70</f>
        <v>0</v>
      </c>
      <c r="EQ70" s="3">
        <v>1000</v>
      </c>
      <c r="ER70" s="7">
        <f t="shared" ref="ER70" si="235">EP70*EQ70</f>
        <v>0</v>
      </c>
      <c r="ES70" s="3" t="s">
        <v>124</v>
      </c>
      <c r="ET70" s="2">
        <v>1</v>
      </c>
      <c r="EU70" s="3">
        <v>60000</v>
      </c>
      <c r="EV70" s="3">
        <f t="shared" ref="EV70" si="236">ET70*EU70</f>
        <v>60000</v>
      </c>
      <c r="EW70" s="3" t="s">
        <v>124</v>
      </c>
      <c r="EX70" s="14"/>
      <c r="EY70" s="3">
        <v>60000</v>
      </c>
      <c r="EZ70" s="3">
        <f t="shared" ref="EZ70" si="237">EX70*EY70</f>
        <v>0</v>
      </c>
      <c r="FA70" s="3" t="s">
        <v>170</v>
      </c>
      <c r="FB70" s="14"/>
      <c r="FC70" s="3">
        <v>1000</v>
      </c>
      <c r="FD70" s="3">
        <f t="shared" ref="FD70" si="238">FB70*FC70</f>
        <v>0</v>
      </c>
      <c r="FE70" s="3" t="s">
        <v>126</v>
      </c>
      <c r="FF70" s="3">
        <f t="shared" ref="FF70" si="239">AO70</f>
        <v>100</v>
      </c>
      <c r="FG70" s="3">
        <v>6000</v>
      </c>
      <c r="FH70" s="3">
        <f t="shared" ref="FH70" si="240">FF70*FG70</f>
        <v>600000</v>
      </c>
      <c r="FI70" s="1">
        <f t="shared" ref="FI70" si="241">DX70+EB70+EF70+EJ70+EN70+ER70+EZ70+EV70+FD70+FH70</f>
        <v>2105000</v>
      </c>
      <c r="FJ70" s="3" t="s">
        <v>139</v>
      </c>
      <c r="FK70" s="2">
        <v>40</v>
      </c>
      <c r="FL70" s="2">
        <v>6000</v>
      </c>
      <c r="FM70" s="3">
        <f t="shared" ref="FM70" si="242">FK70*FL70</f>
        <v>240000</v>
      </c>
      <c r="FN70" s="3" t="s">
        <v>139</v>
      </c>
      <c r="FO70" s="2"/>
      <c r="FP70" s="3">
        <v>6000</v>
      </c>
      <c r="FQ70" s="3">
        <f t="shared" ref="FQ70" si="243">FO70*FP70</f>
        <v>0</v>
      </c>
      <c r="FR70" s="3" t="s">
        <v>139</v>
      </c>
      <c r="FS70" s="13"/>
      <c r="FT70" s="15">
        <v>6000</v>
      </c>
      <c r="FU70" s="3">
        <f t="shared" ref="FU70" si="244">FS70*FT70</f>
        <v>0</v>
      </c>
      <c r="FV70" s="3" t="s">
        <v>139</v>
      </c>
      <c r="FW70" s="14"/>
      <c r="FX70" s="3">
        <v>8000</v>
      </c>
      <c r="FY70" s="3">
        <f t="shared" ref="FY70" si="245">FW70*FX70</f>
        <v>0</v>
      </c>
      <c r="FZ70" s="3" t="s">
        <v>139</v>
      </c>
      <c r="GA70" s="3">
        <v>2</v>
      </c>
      <c r="GB70" s="3">
        <v>8000</v>
      </c>
      <c r="GC70" s="3">
        <f t="shared" ref="GC70" si="246">GA70*GB70</f>
        <v>16000</v>
      </c>
      <c r="GD70" s="3" t="s">
        <v>139</v>
      </c>
      <c r="GE70" s="3">
        <v>10</v>
      </c>
      <c r="GF70" s="3">
        <v>10000</v>
      </c>
      <c r="GG70" s="3">
        <f t="shared" ref="GG70" si="247">GE70*GF70</f>
        <v>100000</v>
      </c>
      <c r="GH70" s="3" t="s">
        <v>139</v>
      </c>
      <c r="GI70" s="14"/>
      <c r="GJ70" s="14"/>
      <c r="GK70" s="3">
        <f t="shared" ref="GK70" si="248">GI70*GJ70</f>
        <v>0</v>
      </c>
      <c r="GL70" s="92">
        <f t="shared" ref="GL70" si="249">FM70+FQ70+FU70+FY70+GC70+GG70+GK70</f>
        <v>356000</v>
      </c>
      <c r="GM70" s="8">
        <f t="shared" ref="GM70" si="250">BZ70+CM70+DT70+FI70+GL70</f>
        <v>4154000</v>
      </c>
      <c r="GN70" s="8">
        <f t="shared" ref="GN70" si="251">X70*1000</f>
        <v>10000</v>
      </c>
      <c r="GO70" s="102">
        <v>2500</v>
      </c>
      <c r="GP70" s="8">
        <f t="shared" ref="GP70" si="252">GN70*GO70</f>
        <v>25000000</v>
      </c>
      <c r="GQ70" s="8">
        <f t="shared" ref="GQ70" si="253">(GO70*Y70*1000)</f>
        <v>62500000</v>
      </c>
      <c r="GR70" s="8">
        <f t="shared" ref="GR70" si="254">GP70-GM70</f>
        <v>20846000</v>
      </c>
      <c r="GS70" s="8">
        <f t="shared" ref="GS70" si="255">GQ70-GM70</f>
        <v>58346000</v>
      </c>
      <c r="GT70" s="15" t="s">
        <v>1809</v>
      </c>
      <c r="GU70" s="47" t="s">
        <v>1148</v>
      </c>
    </row>
    <row r="71" spans="1:203" s="38" customFormat="1" ht="158.25" customHeight="1">
      <c r="A71" s="44">
        <v>72</v>
      </c>
      <c r="B71" s="33" t="s">
        <v>832</v>
      </c>
      <c r="C71" s="35" t="s">
        <v>1168</v>
      </c>
      <c r="D71" s="35" t="s">
        <v>1169</v>
      </c>
      <c r="E71" s="34" t="s">
        <v>1170</v>
      </c>
      <c r="F71" s="34" t="s">
        <v>1170</v>
      </c>
      <c r="G71" s="34" t="s">
        <v>1171</v>
      </c>
      <c r="H71" s="35" t="s">
        <v>1172</v>
      </c>
      <c r="I71" s="35" t="s">
        <v>1173</v>
      </c>
      <c r="J71" s="35" t="s">
        <v>1174</v>
      </c>
      <c r="K71" s="35" t="s">
        <v>1175</v>
      </c>
      <c r="L71" s="35" t="s">
        <v>1176</v>
      </c>
      <c r="M71" s="35" t="s">
        <v>1177</v>
      </c>
      <c r="N71" s="35" t="s">
        <v>1178</v>
      </c>
      <c r="O71" s="35" t="s">
        <v>1179</v>
      </c>
      <c r="P71" s="34" t="s">
        <v>1181</v>
      </c>
      <c r="Q71" s="34" t="s">
        <v>1180</v>
      </c>
      <c r="R71" s="34">
        <v>10000</v>
      </c>
      <c r="S71" s="34">
        <v>12500</v>
      </c>
      <c r="T71" s="35">
        <v>50</v>
      </c>
      <c r="U71" s="35">
        <v>240</v>
      </c>
      <c r="V71" s="40">
        <v>540</v>
      </c>
      <c r="W71" s="35" t="s">
        <v>1182</v>
      </c>
      <c r="X71" s="40">
        <v>6</v>
      </c>
      <c r="Y71" s="35">
        <v>15</v>
      </c>
      <c r="Z71" s="35" t="s">
        <v>1183</v>
      </c>
      <c r="AA71" s="35" t="s">
        <v>1184</v>
      </c>
      <c r="AB71" s="35" t="s">
        <v>1185</v>
      </c>
      <c r="AC71" s="3">
        <v>50000</v>
      </c>
      <c r="AD71" s="34">
        <v>5</v>
      </c>
      <c r="AE71" s="34"/>
      <c r="AF71" s="3">
        <v>80000</v>
      </c>
      <c r="AG71" s="3">
        <f t="shared" si="211"/>
        <v>250000</v>
      </c>
      <c r="AH71" s="35" t="s">
        <v>1186</v>
      </c>
      <c r="AI71" s="34">
        <v>300</v>
      </c>
      <c r="AJ71" s="15">
        <v>1000</v>
      </c>
      <c r="AK71" s="36">
        <v>100</v>
      </c>
      <c r="AL71" s="15">
        <v>6000</v>
      </c>
      <c r="AM71" s="15"/>
      <c r="AN71" s="15">
        <v>3000</v>
      </c>
      <c r="AO71" s="42"/>
      <c r="AP71" s="15">
        <v>6000</v>
      </c>
      <c r="AQ71" s="2">
        <f t="shared" si="199"/>
        <v>900000</v>
      </c>
      <c r="AR71" s="35" t="s">
        <v>1188</v>
      </c>
      <c r="AS71" s="35" t="s">
        <v>1187</v>
      </c>
      <c r="AT71" s="2" t="s">
        <v>139</v>
      </c>
      <c r="AU71" s="36"/>
      <c r="AV71" s="3">
        <v>6000</v>
      </c>
      <c r="AW71" s="2">
        <f t="shared" si="134"/>
        <v>0</v>
      </c>
      <c r="AX71" s="3" t="s">
        <v>139</v>
      </c>
      <c r="AY71" s="34"/>
      <c r="AZ71" s="3">
        <v>6000</v>
      </c>
      <c r="BA71" s="3">
        <f t="shared" si="164"/>
        <v>0</v>
      </c>
      <c r="BB71" s="3" t="s">
        <v>139</v>
      </c>
      <c r="BC71" s="34"/>
      <c r="BD71" s="3">
        <v>6000</v>
      </c>
      <c r="BE71" s="3">
        <f t="shared" si="165"/>
        <v>0</v>
      </c>
      <c r="BF71" s="3" t="s">
        <v>125</v>
      </c>
      <c r="BG71" s="3"/>
      <c r="BH71" s="3">
        <v>6000</v>
      </c>
      <c r="BI71" s="3">
        <f t="shared" si="215"/>
        <v>0</v>
      </c>
      <c r="BJ71" s="13" t="s">
        <v>20</v>
      </c>
      <c r="BK71" s="14"/>
      <c r="BL71" s="3">
        <v>1000</v>
      </c>
      <c r="BM71" s="3">
        <f t="shared" si="62"/>
        <v>0</v>
      </c>
      <c r="BN71" s="13" t="s">
        <v>20</v>
      </c>
      <c r="BO71" s="14"/>
      <c r="BP71" s="2">
        <v>3000</v>
      </c>
      <c r="BQ71" s="14"/>
      <c r="BR71" s="2" t="s">
        <v>126</v>
      </c>
      <c r="BS71" s="14"/>
      <c r="BT71" s="2">
        <f>6000</f>
        <v>6000</v>
      </c>
      <c r="BU71" s="3">
        <f t="shared" ref="BU71:BU86" si="256">BS71*BT71</f>
        <v>0</v>
      </c>
      <c r="BV71" s="2" t="s">
        <v>126</v>
      </c>
      <c r="BW71" s="14"/>
      <c r="BX71" s="2">
        <v>6000</v>
      </c>
      <c r="BY71" s="3">
        <f t="shared" si="136"/>
        <v>0</v>
      </c>
      <c r="BZ71" s="92">
        <f t="shared" si="216"/>
        <v>0</v>
      </c>
      <c r="CA71" s="2" t="s">
        <v>139</v>
      </c>
      <c r="CB71" s="3">
        <v>5</v>
      </c>
      <c r="CC71" s="3">
        <v>8000</v>
      </c>
      <c r="CD71" s="3">
        <f t="shared" si="200"/>
        <v>40000</v>
      </c>
      <c r="CE71" s="2" t="s">
        <v>139</v>
      </c>
      <c r="CF71" s="2">
        <v>30</v>
      </c>
      <c r="CG71" s="2">
        <v>6000</v>
      </c>
      <c r="CH71" s="3">
        <f t="shared" si="201"/>
        <v>180000</v>
      </c>
      <c r="CI71" s="3" t="s">
        <v>139</v>
      </c>
      <c r="CJ71" s="3">
        <v>1</v>
      </c>
      <c r="CK71" s="14"/>
      <c r="CL71" s="3">
        <f t="shared" si="166"/>
        <v>0</v>
      </c>
      <c r="CM71" s="5">
        <f t="shared" si="167"/>
        <v>220000</v>
      </c>
      <c r="CN71" s="3" t="s">
        <v>125</v>
      </c>
      <c r="CO71" s="3">
        <v>0</v>
      </c>
      <c r="CP71" s="3">
        <v>6000</v>
      </c>
      <c r="CQ71" s="3">
        <f t="shared" si="154"/>
        <v>0</v>
      </c>
      <c r="CR71" s="3" t="s">
        <v>125</v>
      </c>
      <c r="CS71" s="3">
        <v>75</v>
      </c>
      <c r="CT71" s="3">
        <v>6000</v>
      </c>
      <c r="CU71" s="3">
        <f t="shared" si="155"/>
        <v>450000</v>
      </c>
      <c r="CV71" s="3" t="s">
        <v>125</v>
      </c>
      <c r="CW71" s="3">
        <v>30</v>
      </c>
      <c r="CX71" s="3">
        <v>6000</v>
      </c>
      <c r="CY71" s="3">
        <f t="shared" si="219"/>
        <v>180000</v>
      </c>
      <c r="CZ71" s="3" t="s">
        <v>125</v>
      </c>
      <c r="DA71" s="3">
        <v>15</v>
      </c>
      <c r="DB71" s="3">
        <v>6000</v>
      </c>
      <c r="DC71" s="3">
        <f t="shared" si="220"/>
        <v>90000</v>
      </c>
      <c r="DD71" s="3" t="s">
        <v>125</v>
      </c>
      <c r="DE71" s="3">
        <v>5</v>
      </c>
      <c r="DF71" s="3">
        <v>6000</v>
      </c>
      <c r="DG71" s="3">
        <f t="shared" ref="DG71:DG74" si="257">DE71*DF71</f>
        <v>30000</v>
      </c>
      <c r="DH71" s="3" t="s">
        <v>125</v>
      </c>
      <c r="DI71" s="3">
        <v>100</v>
      </c>
      <c r="DJ71" s="3">
        <v>6000</v>
      </c>
      <c r="DK71" s="3">
        <f t="shared" si="158"/>
        <v>600000</v>
      </c>
      <c r="DL71" s="3" t="s">
        <v>125</v>
      </c>
      <c r="DM71" s="3"/>
      <c r="DN71" s="3">
        <v>6000</v>
      </c>
      <c r="DO71" s="3">
        <f t="shared" si="159"/>
        <v>0</v>
      </c>
      <c r="DP71" s="3" t="s">
        <v>125</v>
      </c>
      <c r="DQ71" s="3"/>
      <c r="DR71" s="3">
        <v>6000</v>
      </c>
      <c r="DS71" s="3">
        <f t="shared" si="213"/>
        <v>0</v>
      </c>
      <c r="DT71" s="6">
        <f t="shared" si="214"/>
        <v>1350000</v>
      </c>
      <c r="DU71" s="2" t="s">
        <v>157</v>
      </c>
      <c r="DV71" s="3">
        <f t="shared" si="189"/>
        <v>10000</v>
      </c>
      <c r="DW71" s="3">
        <f t="shared" si="190"/>
        <v>50</v>
      </c>
      <c r="DX71" s="3">
        <f t="shared" si="168"/>
        <v>500000</v>
      </c>
      <c r="DY71" s="3" t="s">
        <v>127</v>
      </c>
      <c r="DZ71" s="3">
        <f t="shared" si="191"/>
        <v>5</v>
      </c>
      <c r="EA71" s="2">
        <v>50000</v>
      </c>
      <c r="EB71" s="3">
        <f t="shared" si="169"/>
        <v>250000</v>
      </c>
      <c r="EC71" s="2" t="s">
        <v>127</v>
      </c>
      <c r="ED71" s="3">
        <f t="shared" si="192"/>
        <v>0</v>
      </c>
      <c r="EE71" s="3">
        <v>80000</v>
      </c>
      <c r="EF71" s="3">
        <f t="shared" si="170"/>
        <v>0</v>
      </c>
      <c r="EG71" s="2" t="s">
        <v>157</v>
      </c>
      <c r="EH71" s="3">
        <f t="shared" si="193"/>
        <v>100</v>
      </c>
      <c r="EI71" s="3">
        <v>6000</v>
      </c>
      <c r="EJ71" s="7">
        <f t="shared" si="124"/>
        <v>600000</v>
      </c>
      <c r="EK71" s="2" t="s">
        <v>157</v>
      </c>
      <c r="EL71" s="13">
        <f t="shared" si="149"/>
        <v>0</v>
      </c>
      <c r="EM71" s="3">
        <v>3000</v>
      </c>
      <c r="EN71" s="3">
        <f t="shared" si="171"/>
        <v>0</v>
      </c>
      <c r="EO71" s="3" t="s">
        <v>126</v>
      </c>
      <c r="EP71" s="3">
        <f t="shared" si="194"/>
        <v>300</v>
      </c>
      <c r="EQ71" s="3">
        <v>1000</v>
      </c>
      <c r="ER71" s="7">
        <f t="shared" si="195"/>
        <v>300000</v>
      </c>
      <c r="ES71" s="3" t="s">
        <v>124</v>
      </c>
      <c r="ET71" s="2">
        <v>1</v>
      </c>
      <c r="EU71" s="3">
        <v>60000</v>
      </c>
      <c r="EV71" s="3">
        <f t="shared" si="172"/>
        <v>60000</v>
      </c>
      <c r="EW71" s="3" t="s">
        <v>124</v>
      </c>
      <c r="EX71" s="14"/>
      <c r="EY71" s="3">
        <v>60000</v>
      </c>
      <c r="EZ71" s="3">
        <f t="shared" si="173"/>
        <v>0</v>
      </c>
      <c r="FA71" s="3" t="s">
        <v>170</v>
      </c>
      <c r="FB71" s="14"/>
      <c r="FC71" s="3">
        <v>1000</v>
      </c>
      <c r="FD71" s="3">
        <f t="shared" si="174"/>
        <v>0</v>
      </c>
      <c r="FE71" s="3" t="s">
        <v>126</v>
      </c>
      <c r="FF71" s="3">
        <f t="shared" si="196"/>
        <v>0</v>
      </c>
      <c r="FG71" s="3">
        <v>6000</v>
      </c>
      <c r="FH71" s="3">
        <f t="shared" si="175"/>
        <v>0</v>
      </c>
      <c r="FI71" s="1">
        <f t="shared" si="176"/>
        <v>1710000</v>
      </c>
      <c r="FJ71" s="3" t="s">
        <v>139</v>
      </c>
      <c r="FK71" s="2">
        <v>40</v>
      </c>
      <c r="FL71" s="2">
        <v>6000</v>
      </c>
      <c r="FM71" s="3">
        <f t="shared" si="177"/>
        <v>240000</v>
      </c>
      <c r="FN71" s="3" t="s">
        <v>139</v>
      </c>
      <c r="FO71" s="2"/>
      <c r="FP71" s="3">
        <v>6000</v>
      </c>
      <c r="FQ71" s="3">
        <f t="shared" si="197"/>
        <v>0</v>
      </c>
      <c r="FR71" s="3" t="s">
        <v>139</v>
      </c>
      <c r="FS71" s="13"/>
      <c r="FT71" s="15">
        <v>6000</v>
      </c>
      <c r="FU71" s="3">
        <f t="shared" si="178"/>
        <v>0</v>
      </c>
      <c r="FV71" s="3" t="s">
        <v>139</v>
      </c>
      <c r="FW71" s="14"/>
      <c r="FX71" s="3">
        <v>8000</v>
      </c>
      <c r="FY71" s="3">
        <f t="shared" si="179"/>
        <v>0</v>
      </c>
      <c r="FZ71" s="3" t="s">
        <v>139</v>
      </c>
      <c r="GA71" s="3">
        <v>2</v>
      </c>
      <c r="GB71" s="3">
        <v>8000</v>
      </c>
      <c r="GC71" s="3">
        <f t="shared" si="180"/>
        <v>16000</v>
      </c>
      <c r="GD71" s="3" t="s">
        <v>139</v>
      </c>
      <c r="GE71" s="3">
        <v>10</v>
      </c>
      <c r="GF71" s="3">
        <v>10000</v>
      </c>
      <c r="GG71" s="3">
        <f t="shared" si="181"/>
        <v>100000</v>
      </c>
      <c r="GH71" s="3" t="s">
        <v>139</v>
      </c>
      <c r="GI71" s="14"/>
      <c r="GJ71" s="14"/>
      <c r="GK71" s="3">
        <f t="shared" si="182"/>
        <v>0</v>
      </c>
      <c r="GL71" s="92">
        <f t="shared" si="183"/>
        <v>356000</v>
      </c>
      <c r="GM71" s="8">
        <f t="shared" si="184"/>
        <v>3636000</v>
      </c>
      <c r="GN71" s="8">
        <f t="shared" si="185"/>
        <v>6000</v>
      </c>
      <c r="GO71" s="102">
        <v>800</v>
      </c>
      <c r="GP71" s="8">
        <f t="shared" si="198"/>
        <v>4800000</v>
      </c>
      <c r="GQ71" s="8">
        <f t="shared" si="186"/>
        <v>12000000</v>
      </c>
      <c r="GR71" s="8">
        <f t="shared" si="187"/>
        <v>1164000</v>
      </c>
      <c r="GS71" s="8">
        <f t="shared" si="188"/>
        <v>8364000</v>
      </c>
      <c r="GT71" s="15" t="s">
        <v>1810</v>
      </c>
      <c r="GU71" s="47" t="s">
        <v>1189</v>
      </c>
    </row>
    <row r="72" spans="1:203" s="52" customFormat="1" ht="158.25" customHeight="1">
      <c r="A72" s="44">
        <v>73</v>
      </c>
      <c r="B72" s="18" t="s">
        <v>1190</v>
      </c>
      <c r="C72" s="15" t="s">
        <v>1191</v>
      </c>
      <c r="D72" s="15" t="s">
        <v>1192</v>
      </c>
      <c r="E72" s="15" t="s">
        <v>1193</v>
      </c>
      <c r="F72" s="15" t="s">
        <v>1193</v>
      </c>
      <c r="G72" s="15" t="s">
        <v>1194</v>
      </c>
      <c r="H72" s="15" t="s">
        <v>815</v>
      </c>
      <c r="I72" s="87" t="s">
        <v>1195</v>
      </c>
      <c r="J72" s="15" t="s">
        <v>1196</v>
      </c>
      <c r="K72" s="15" t="s">
        <v>1197</v>
      </c>
      <c r="L72" s="15" t="s">
        <v>1198</v>
      </c>
      <c r="M72" s="15" t="s">
        <v>1199</v>
      </c>
      <c r="N72" s="15" t="s">
        <v>1200</v>
      </c>
      <c r="O72" s="19" t="s">
        <v>1201</v>
      </c>
      <c r="P72" s="15" t="s">
        <v>1202</v>
      </c>
      <c r="Q72" s="34" t="s">
        <v>1180</v>
      </c>
      <c r="R72" s="15">
        <v>2500</v>
      </c>
      <c r="S72" s="15">
        <v>5000</v>
      </c>
      <c r="T72" s="15">
        <v>100</v>
      </c>
      <c r="U72" s="15">
        <v>90</v>
      </c>
      <c r="V72" s="15">
        <v>1825</v>
      </c>
      <c r="W72" s="15" t="s">
        <v>1203</v>
      </c>
      <c r="X72" s="15">
        <v>2</v>
      </c>
      <c r="Y72" s="15">
        <v>5</v>
      </c>
      <c r="Z72" s="15" t="s">
        <v>1204</v>
      </c>
      <c r="AA72" s="15" t="s">
        <v>1205</v>
      </c>
      <c r="AB72" s="15" t="s">
        <v>1206</v>
      </c>
      <c r="AC72" s="3">
        <v>50000</v>
      </c>
      <c r="AD72" s="14">
        <v>5</v>
      </c>
      <c r="AE72" s="14"/>
      <c r="AF72" s="3">
        <v>80000</v>
      </c>
      <c r="AG72" s="3">
        <f t="shared" si="211"/>
        <v>250000</v>
      </c>
      <c r="AH72" s="15" t="s">
        <v>1207</v>
      </c>
      <c r="AI72" s="15">
        <v>200</v>
      </c>
      <c r="AJ72" s="15">
        <v>1000</v>
      </c>
      <c r="AK72" s="14">
        <v>100</v>
      </c>
      <c r="AL72" s="15">
        <v>6000</v>
      </c>
      <c r="AM72" s="15"/>
      <c r="AN72" s="15">
        <v>3000</v>
      </c>
      <c r="AO72" s="42"/>
      <c r="AP72" s="15">
        <v>6000</v>
      </c>
      <c r="AQ72" s="2">
        <f t="shared" si="199"/>
        <v>800000</v>
      </c>
      <c r="AR72" s="15" t="s">
        <v>1208</v>
      </c>
      <c r="AS72" s="14" t="s">
        <v>1209</v>
      </c>
      <c r="AT72" s="2" t="s">
        <v>139</v>
      </c>
      <c r="AU72" s="36"/>
      <c r="AV72" s="3">
        <v>6000</v>
      </c>
      <c r="AW72" s="2">
        <f t="shared" si="134"/>
        <v>0</v>
      </c>
      <c r="AX72" s="3" t="s">
        <v>139</v>
      </c>
      <c r="AY72" s="14"/>
      <c r="AZ72" s="3">
        <v>6000</v>
      </c>
      <c r="BA72" s="3">
        <f t="shared" si="164"/>
        <v>0</v>
      </c>
      <c r="BB72" s="3" t="s">
        <v>139</v>
      </c>
      <c r="BC72" s="34"/>
      <c r="BD72" s="3">
        <v>6000</v>
      </c>
      <c r="BE72" s="3">
        <f t="shared" si="165"/>
        <v>0</v>
      </c>
      <c r="BF72" s="3" t="s">
        <v>125</v>
      </c>
      <c r="BG72" s="3"/>
      <c r="BH72" s="3">
        <v>6000</v>
      </c>
      <c r="BI72" s="3">
        <f t="shared" si="215"/>
        <v>0</v>
      </c>
      <c r="BJ72" s="13" t="s">
        <v>20</v>
      </c>
      <c r="BK72" s="14"/>
      <c r="BL72" s="3">
        <v>1000</v>
      </c>
      <c r="BM72" s="3">
        <f t="shared" si="62"/>
        <v>0</v>
      </c>
      <c r="BN72" s="13" t="s">
        <v>20</v>
      </c>
      <c r="BO72" s="14"/>
      <c r="BP72" s="2">
        <v>3000</v>
      </c>
      <c r="BQ72" s="14"/>
      <c r="BR72" s="2" t="s">
        <v>126</v>
      </c>
      <c r="BS72" s="14"/>
      <c r="BT72" s="2">
        <f>6000</f>
        <v>6000</v>
      </c>
      <c r="BU72" s="3">
        <f t="shared" si="256"/>
        <v>0</v>
      </c>
      <c r="BV72" s="2" t="s">
        <v>126</v>
      </c>
      <c r="BW72" s="14"/>
      <c r="BX72" s="2">
        <v>6000</v>
      </c>
      <c r="BY72" s="3">
        <f t="shared" si="136"/>
        <v>0</v>
      </c>
      <c r="BZ72" s="92">
        <f t="shared" si="216"/>
        <v>0</v>
      </c>
      <c r="CA72" s="2" t="s">
        <v>139</v>
      </c>
      <c r="CB72" s="3">
        <v>5</v>
      </c>
      <c r="CC72" s="3">
        <v>8000</v>
      </c>
      <c r="CD72" s="3">
        <f t="shared" si="200"/>
        <v>40000</v>
      </c>
      <c r="CE72" s="2" t="s">
        <v>139</v>
      </c>
      <c r="CF72" s="2">
        <v>30</v>
      </c>
      <c r="CG72" s="2">
        <v>6000</v>
      </c>
      <c r="CH72" s="3">
        <f t="shared" si="201"/>
        <v>180000</v>
      </c>
      <c r="CI72" s="3" t="s">
        <v>139</v>
      </c>
      <c r="CJ72" s="3">
        <v>1</v>
      </c>
      <c r="CK72" s="14"/>
      <c r="CL72" s="3">
        <f t="shared" si="166"/>
        <v>0</v>
      </c>
      <c r="CM72" s="5">
        <f t="shared" si="167"/>
        <v>220000</v>
      </c>
      <c r="CN72" s="3" t="s">
        <v>125</v>
      </c>
      <c r="CO72" s="3">
        <v>0</v>
      </c>
      <c r="CP72" s="3">
        <v>6000</v>
      </c>
      <c r="CQ72" s="3">
        <f t="shared" si="154"/>
        <v>0</v>
      </c>
      <c r="CR72" s="3" t="s">
        <v>125</v>
      </c>
      <c r="CS72" s="3">
        <v>75</v>
      </c>
      <c r="CT72" s="3">
        <v>6000</v>
      </c>
      <c r="CU72" s="3">
        <f t="shared" si="155"/>
        <v>450000</v>
      </c>
      <c r="CV72" s="3" t="s">
        <v>125</v>
      </c>
      <c r="CW72" s="3">
        <v>30</v>
      </c>
      <c r="CX72" s="3">
        <v>6000</v>
      </c>
      <c r="CY72" s="3">
        <f t="shared" si="219"/>
        <v>180000</v>
      </c>
      <c r="CZ72" s="3" t="s">
        <v>125</v>
      </c>
      <c r="DA72" s="3">
        <v>15</v>
      </c>
      <c r="DB72" s="3">
        <v>6000</v>
      </c>
      <c r="DC72" s="3">
        <f t="shared" si="220"/>
        <v>90000</v>
      </c>
      <c r="DD72" s="3" t="s">
        <v>125</v>
      </c>
      <c r="DE72" s="3">
        <v>5</v>
      </c>
      <c r="DF72" s="3">
        <v>6000</v>
      </c>
      <c r="DG72" s="3">
        <f t="shared" si="257"/>
        <v>30000</v>
      </c>
      <c r="DH72" s="3" t="s">
        <v>125</v>
      </c>
      <c r="DI72" s="3">
        <v>100</v>
      </c>
      <c r="DJ72" s="3">
        <v>6000</v>
      </c>
      <c r="DK72" s="3">
        <f t="shared" si="158"/>
        <v>600000</v>
      </c>
      <c r="DL72" s="3" t="s">
        <v>125</v>
      </c>
      <c r="DM72" s="3"/>
      <c r="DN72" s="3">
        <v>6000</v>
      </c>
      <c r="DO72" s="3">
        <f t="shared" si="159"/>
        <v>0</v>
      </c>
      <c r="DP72" s="3" t="s">
        <v>125</v>
      </c>
      <c r="DQ72" s="3"/>
      <c r="DR72" s="3">
        <v>6000</v>
      </c>
      <c r="DS72" s="3">
        <f t="shared" si="213"/>
        <v>0</v>
      </c>
      <c r="DT72" s="6">
        <f t="shared" si="214"/>
        <v>1350000</v>
      </c>
      <c r="DU72" s="2" t="s">
        <v>157</v>
      </c>
      <c r="DV72" s="3">
        <f t="shared" si="189"/>
        <v>2500</v>
      </c>
      <c r="DW72" s="3">
        <f t="shared" si="190"/>
        <v>100</v>
      </c>
      <c r="DX72" s="3">
        <f t="shared" si="168"/>
        <v>250000</v>
      </c>
      <c r="DY72" s="3" t="s">
        <v>127</v>
      </c>
      <c r="DZ72" s="3">
        <f t="shared" si="191"/>
        <v>5</v>
      </c>
      <c r="EA72" s="2">
        <v>50000</v>
      </c>
      <c r="EB72" s="3">
        <f t="shared" si="169"/>
        <v>250000</v>
      </c>
      <c r="EC72" s="2" t="s">
        <v>127</v>
      </c>
      <c r="ED72" s="3">
        <f t="shared" si="192"/>
        <v>0</v>
      </c>
      <c r="EE72" s="3">
        <v>80000</v>
      </c>
      <c r="EF72" s="3">
        <f t="shared" si="170"/>
        <v>0</v>
      </c>
      <c r="EG72" s="2" t="s">
        <v>157</v>
      </c>
      <c r="EH72" s="3">
        <f t="shared" si="193"/>
        <v>100</v>
      </c>
      <c r="EI72" s="3">
        <v>6000</v>
      </c>
      <c r="EJ72" s="7">
        <f t="shared" si="124"/>
        <v>600000</v>
      </c>
      <c r="EK72" s="2" t="s">
        <v>157</v>
      </c>
      <c r="EL72" s="13">
        <f t="shared" si="149"/>
        <v>0</v>
      </c>
      <c r="EM72" s="3">
        <v>3000</v>
      </c>
      <c r="EN72" s="3">
        <f t="shared" si="171"/>
        <v>0</v>
      </c>
      <c r="EO72" s="3" t="s">
        <v>126</v>
      </c>
      <c r="EP72" s="3">
        <f t="shared" si="194"/>
        <v>200</v>
      </c>
      <c r="EQ72" s="3">
        <v>1000</v>
      </c>
      <c r="ER72" s="7">
        <f t="shared" si="195"/>
        <v>200000</v>
      </c>
      <c r="ES72" s="3" t="s">
        <v>124</v>
      </c>
      <c r="ET72" s="2">
        <v>1</v>
      </c>
      <c r="EU72" s="3">
        <v>60000</v>
      </c>
      <c r="EV72" s="3">
        <f t="shared" si="172"/>
        <v>60000</v>
      </c>
      <c r="EW72" s="3" t="s">
        <v>124</v>
      </c>
      <c r="EX72" s="14"/>
      <c r="EY72" s="3">
        <v>60000</v>
      </c>
      <c r="EZ72" s="3">
        <f t="shared" si="173"/>
        <v>0</v>
      </c>
      <c r="FA72" s="3" t="s">
        <v>170</v>
      </c>
      <c r="FB72" s="14"/>
      <c r="FC72" s="3">
        <v>1000</v>
      </c>
      <c r="FD72" s="3">
        <f t="shared" si="174"/>
        <v>0</v>
      </c>
      <c r="FE72" s="3" t="s">
        <v>126</v>
      </c>
      <c r="FF72" s="3">
        <f t="shared" si="196"/>
        <v>0</v>
      </c>
      <c r="FG72" s="3">
        <v>6000</v>
      </c>
      <c r="FH72" s="3">
        <f t="shared" si="175"/>
        <v>0</v>
      </c>
      <c r="FI72" s="1">
        <f t="shared" si="176"/>
        <v>1360000</v>
      </c>
      <c r="FJ72" s="3" t="s">
        <v>139</v>
      </c>
      <c r="FK72" s="2">
        <v>40</v>
      </c>
      <c r="FL72" s="2">
        <v>6000</v>
      </c>
      <c r="FM72" s="3">
        <f t="shared" si="177"/>
        <v>240000</v>
      </c>
      <c r="FN72" s="3" t="s">
        <v>139</v>
      </c>
      <c r="FO72" s="2"/>
      <c r="FP72" s="3">
        <v>6000</v>
      </c>
      <c r="FQ72" s="3">
        <f t="shared" si="197"/>
        <v>0</v>
      </c>
      <c r="FR72" s="3" t="s">
        <v>139</v>
      </c>
      <c r="FS72" s="13"/>
      <c r="FT72" s="15">
        <v>6000</v>
      </c>
      <c r="FU72" s="3">
        <f t="shared" si="178"/>
        <v>0</v>
      </c>
      <c r="FV72" s="3" t="s">
        <v>139</v>
      </c>
      <c r="FW72" s="14"/>
      <c r="FX72" s="3">
        <v>8000</v>
      </c>
      <c r="FY72" s="3">
        <f t="shared" si="179"/>
        <v>0</v>
      </c>
      <c r="FZ72" s="3" t="s">
        <v>139</v>
      </c>
      <c r="GA72" s="3">
        <v>2</v>
      </c>
      <c r="GB72" s="3">
        <v>8000</v>
      </c>
      <c r="GC72" s="3">
        <f t="shared" si="180"/>
        <v>16000</v>
      </c>
      <c r="GD72" s="3" t="s">
        <v>139</v>
      </c>
      <c r="GE72" s="3">
        <v>10</v>
      </c>
      <c r="GF72" s="3">
        <v>10000</v>
      </c>
      <c r="GG72" s="3">
        <f t="shared" si="181"/>
        <v>100000</v>
      </c>
      <c r="GH72" s="3" t="s">
        <v>139</v>
      </c>
      <c r="GI72" s="14"/>
      <c r="GJ72" s="14"/>
      <c r="GK72" s="3">
        <f t="shared" si="182"/>
        <v>0</v>
      </c>
      <c r="GL72" s="92">
        <f t="shared" si="183"/>
        <v>356000</v>
      </c>
      <c r="GM72" s="8">
        <f t="shared" si="184"/>
        <v>3286000</v>
      </c>
      <c r="GN72" s="8">
        <f t="shared" si="185"/>
        <v>2000</v>
      </c>
      <c r="GO72" s="102">
        <v>5000</v>
      </c>
      <c r="GP72" s="8">
        <f t="shared" si="198"/>
        <v>10000000</v>
      </c>
      <c r="GQ72" s="8">
        <f t="shared" si="186"/>
        <v>25000000</v>
      </c>
      <c r="GR72" s="8">
        <f t="shared" si="187"/>
        <v>6714000</v>
      </c>
      <c r="GS72" s="8">
        <f t="shared" si="188"/>
        <v>21714000</v>
      </c>
      <c r="GT72" s="15" t="s">
        <v>1811</v>
      </c>
      <c r="GU72" s="47" t="s">
        <v>1210</v>
      </c>
    </row>
    <row r="73" spans="1:203" s="52" customFormat="1" ht="158.25" customHeight="1">
      <c r="A73" s="44">
        <v>74</v>
      </c>
      <c r="B73" s="22" t="s">
        <v>833</v>
      </c>
      <c r="C73" s="14" t="s">
        <v>1211</v>
      </c>
      <c r="D73" s="15" t="s">
        <v>1212</v>
      </c>
      <c r="E73" s="15" t="s">
        <v>1213</v>
      </c>
      <c r="F73" s="15" t="s">
        <v>1213</v>
      </c>
      <c r="G73" s="15" t="s">
        <v>1214</v>
      </c>
      <c r="H73" s="15" t="s">
        <v>815</v>
      </c>
      <c r="I73" s="15" t="s">
        <v>1215</v>
      </c>
      <c r="J73" s="15" t="s">
        <v>1216</v>
      </c>
      <c r="K73" s="15" t="s">
        <v>1217</v>
      </c>
      <c r="L73" s="15" t="s">
        <v>1218</v>
      </c>
      <c r="M73" s="15" t="s">
        <v>1219</v>
      </c>
      <c r="N73" s="15" t="s">
        <v>1220</v>
      </c>
      <c r="O73" s="15" t="s">
        <v>1221</v>
      </c>
      <c r="P73" s="15" t="s">
        <v>1222</v>
      </c>
      <c r="Q73" s="15" t="s">
        <v>1223</v>
      </c>
      <c r="R73" s="15">
        <v>400</v>
      </c>
      <c r="S73" s="15">
        <v>600</v>
      </c>
      <c r="T73" s="15">
        <v>800</v>
      </c>
      <c r="U73" s="15">
        <v>1095</v>
      </c>
      <c r="V73" s="15">
        <v>7300</v>
      </c>
      <c r="W73" s="15" t="s">
        <v>1224</v>
      </c>
      <c r="X73" s="15">
        <v>1</v>
      </c>
      <c r="Y73" s="15">
        <v>2</v>
      </c>
      <c r="Z73" s="15" t="s">
        <v>1225</v>
      </c>
      <c r="AA73" s="15" t="s">
        <v>1226</v>
      </c>
      <c r="AB73" s="15" t="s">
        <v>1227</v>
      </c>
      <c r="AC73" s="3">
        <v>50000</v>
      </c>
      <c r="AD73" s="14">
        <v>3</v>
      </c>
      <c r="AE73" s="14"/>
      <c r="AF73" s="3">
        <v>80000</v>
      </c>
      <c r="AG73" s="3">
        <f t="shared" si="211"/>
        <v>150000</v>
      </c>
      <c r="AH73" s="15" t="s">
        <v>1228</v>
      </c>
      <c r="AI73" s="14"/>
      <c r="AJ73" s="15">
        <v>1000</v>
      </c>
      <c r="AK73" s="14">
        <v>25</v>
      </c>
      <c r="AL73" s="15">
        <v>6000</v>
      </c>
      <c r="AM73" s="15"/>
      <c r="AN73" s="15">
        <v>3000</v>
      </c>
      <c r="AO73" s="42"/>
      <c r="AP73" s="15">
        <v>6000</v>
      </c>
      <c r="AQ73" s="2">
        <f t="shared" si="199"/>
        <v>150000</v>
      </c>
      <c r="AR73" s="15" t="s">
        <v>1230</v>
      </c>
      <c r="AS73" s="15" t="s">
        <v>1229</v>
      </c>
      <c r="AT73" s="2" t="s">
        <v>139</v>
      </c>
      <c r="AU73" s="36"/>
      <c r="AV73" s="3">
        <v>6000</v>
      </c>
      <c r="AW73" s="2">
        <f t="shared" si="134"/>
        <v>0</v>
      </c>
      <c r="AX73" s="3" t="s">
        <v>139</v>
      </c>
      <c r="AY73" s="14"/>
      <c r="AZ73" s="3">
        <v>6000</v>
      </c>
      <c r="BA73" s="3">
        <f t="shared" si="164"/>
        <v>0</v>
      </c>
      <c r="BB73" s="3" t="s">
        <v>139</v>
      </c>
      <c r="BC73" s="34"/>
      <c r="BD73" s="3">
        <v>6000</v>
      </c>
      <c r="BE73" s="3">
        <f t="shared" si="165"/>
        <v>0</v>
      </c>
      <c r="BF73" s="3" t="s">
        <v>125</v>
      </c>
      <c r="BG73" s="3"/>
      <c r="BH73" s="3">
        <v>6000</v>
      </c>
      <c r="BI73" s="3">
        <f t="shared" si="215"/>
        <v>0</v>
      </c>
      <c r="BJ73" s="13" t="s">
        <v>20</v>
      </c>
      <c r="BK73" s="14"/>
      <c r="BL73" s="3">
        <v>1000</v>
      </c>
      <c r="BM73" s="3">
        <f t="shared" si="62"/>
        <v>0</v>
      </c>
      <c r="BN73" s="13" t="s">
        <v>20</v>
      </c>
      <c r="BO73" s="14"/>
      <c r="BP73" s="2">
        <v>3000</v>
      </c>
      <c r="BQ73" s="14"/>
      <c r="BR73" s="2" t="s">
        <v>126</v>
      </c>
      <c r="BS73" s="14"/>
      <c r="BT73" s="2">
        <f>6000</f>
        <v>6000</v>
      </c>
      <c r="BU73" s="3">
        <f t="shared" si="256"/>
        <v>0</v>
      </c>
      <c r="BV73" s="2" t="s">
        <v>126</v>
      </c>
      <c r="BW73" s="14"/>
      <c r="BX73" s="2">
        <v>6000</v>
      </c>
      <c r="BY73" s="3">
        <f t="shared" si="136"/>
        <v>0</v>
      </c>
      <c r="BZ73" s="92">
        <f t="shared" si="216"/>
        <v>0</v>
      </c>
      <c r="CA73" s="2" t="s">
        <v>139</v>
      </c>
      <c r="CB73" s="3">
        <v>5</v>
      </c>
      <c r="CC73" s="3">
        <v>8000</v>
      </c>
      <c r="CD73" s="3">
        <f t="shared" si="200"/>
        <v>40000</v>
      </c>
      <c r="CE73" s="2" t="s">
        <v>139</v>
      </c>
      <c r="CF73" s="2">
        <v>30</v>
      </c>
      <c r="CG73" s="2">
        <v>6000</v>
      </c>
      <c r="CH73" s="3">
        <f t="shared" si="201"/>
        <v>180000</v>
      </c>
      <c r="CI73" s="3" t="s">
        <v>139</v>
      </c>
      <c r="CJ73" s="3">
        <v>1</v>
      </c>
      <c r="CK73" s="14"/>
      <c r="CL73" s="3">
        <f t="shared" si="166"/>
        <v>0</v>
      </c>
      <c r="CM73" s="5">
        <f t="shared" si="167"/>
        <v>220000</v>
      </c>
      <c r="CN73" s="3" t="s">
        <v>125</v>
      </c>
      <c r="CO73" s="3">
        <v>0</v>
      </c>
      <c r="CP73" s="3">
        <v>6000</v>
      </c>
      <c r="CQ73" s="3">
        <f t="shared" si="154"/>
        <v>0</v>
      </c>
      <c r="CR73" s="3" t="s">
        <v>125</v>
      </c>
      <c r="CS73" s="3">
        <v>75</v>
      </c>
      <c r="CT73" s="3">
        <v>6000</v>
      </c>
      <c r="CU73" s="3">
        <f t="shared" si="155"/>
        <v>450000</v>
      </c>
      <c r="CV73" s="3" t="s">
        <v>125</v>
      </c>
      <c r="CW73" s="3">
        <v>30</v>
      </c>
      <c r="CX73" s="3">
        <v>6000</v>
      </c>
      <c r="CY73" s="3">
        <f t="shared" si="219"/>
        <v>180000</v>
      </c>
      <c r="CZ73" s="3" t="s">
        <v>125</v>
      </c>
      <c r="DA73" s="3">
        <v>15</v>
      </c>
      <c r="DB73" s="3">
        <v>6000</v>
      </c>
      <c r="DC73" s="3">
        <f t="shared" si="220"/>
        <v>90000</v>
      </c>
      <c r="DD73" s="3" t="s">
        <v>125</v>
      </c>
      <c r="DE73" s="3">
        <v>5</v>
      </c>
      <c r="DF73" s="3">
        <v>6000</v>
      </c>
      <c r="DG73" s="3">
        <f t="shared" si="257"/>
        <v>30000</v>
      </c>
      <c r="DH73" s="3" t="s">
        <v>125</v>
      </c>
      <c r="DI73" s="3">
        <v>100</v>
      </c>
      <c r="DJ73" s="3">
        <v>6000</v>
      </c>
      <c r="DK73" s="3">
        <f t="shared" si="158"/>
        <v>600000</v>
      </c>
      <c r="DL73" s="3" t="s">
        <v>125</v>
      </c>
      <c r="DM73" s="3"/>
      <c r="DN73" s="3">
        <v>6000</v>
      </c>
      <c r="DO73" s="3">
        <f t="shared" si="159"/>
        <v>0</v>
      </c>
      <c r="DP73" s="3" t="s">
        <v>125</v>
      </c>
      <c r="DQ73" s="3"/>
      <c r="DR73" s="3">
        <v>6000</v>
      </c>
      <c r="DS73" s="3">
        <f t="shared" si="213"/>
        <v>0</v>
      </c>
      <c r="DT73" s="6">
        <f t="shared" si="214"/>
        <v>1350000</v>
      </c>
      <c r="DU73" s="2" t="s">
        <v>157</v>
      </c>
      <c r="DV73" s="3">
        <f t="shared" si="189"/>
        <v>400</v>
      </c>
      <c r="DW73" s="3">
        <f t="shared" si="190"/>
        <v>800</v>
      </c>
      <c r="DX73" s="3">
        <f t="shared" si="168"/>
        <v>320000</v>
      </c>
      <c r="DY73" s="3" t="s">
        <v>127</v>
      </c>
      <c r="DZ73" s="3">
        <f t="shared" si="191"/>
        <v>3</v>
      </c>
      <c r="EA73" s="2">
        <v>50000</v>
      </c>
      <c r="EB73" s="3">
        <f t="shared" si="169"/>
        <v>150000</v>
      </c>
      <c r="EC73" s="2" t="s">
        <v>127</v>
      </c>
      <c r="ED73" s="3">
        <f t="shared" si="192"/>
        <v>0</v>
      </c>
      <c r="EE73" s="3">
        <v>80000</v>
      </c>
      <c r="EF73" s="3">
        <f t="shared" si="170"/>
        <v>0</v>
      </c>
      <c r="EG73" s="2" t="s">
        <v>157</v>
      </c>
      <c r="EH73" s="3">
        <f t="shared" si="193"/>
        <v>25</v>
      </c>
      <c r="EI73" s="3">
        <v>6000</v>
      </c>
      <c r="EJ73" s="7">
        <f t="shared" si="124"/>
        <v>150000</v>
      </c>
      <c r="EK73" s="2" t="s">
        <v>157</v>
      </c>
      <c r="EL73" s="13">
        <f t="shared" si="149"/>
        <v>0</v>
      </c>
      <c r="EM73" s="3">
        <v>3000</v>
      </c>
      <c r="EN73" s="3">
        <f t="shared" si="171"/>
        <v>0</v>
      </c>
      <c r="EO73" s="3" t="s">
        <v>126</v>
      </c>
      <c r="EP73" s="3">
        <f t="shared" si="194"/>
        <v>0</v>
      </c>
      <c r="EQ73" s="3">
        <v>1000</v>
      </c>
      <c r="ER73" s="7">
        <f t="shared" si="195"/>
        <v>0</v>
      </c>
      <c r="ES73" s="3" t="s">
        <v>124</v>
      </c>
      <c r="ET73" s="2">
        <v>1</v>
      </c>
      <c r="EU73" s="3">
        <v>60000</v>
      </c>
      <c r="EV73" s="3">
        <f t="shared" si="172"/>
        <v>60000</v>
      </c>
      <c r="EW73" s="3" t="s">
        <v>124</v>
      </c>
      <c r="EX73" s="14"/>
      <c r="EY73" s="3">
        <v>60000</v>
      </c>
      <c r="EZ73" s="3">
        <f t="shared" si="173"/>
        <v>0</v>
      </c>
      <c r="FA73" s="3" t="s">
        <v>170</v>
      </c>
      <c r="FB73" s="14"/>
      <c r="FC73" s="3">
        <v>1000</v>
      </c>
      <c r="FD73" s="3">
        <f t="shared" si="174"/>
        <v>0</v>
      </c>
      <c r="FE73" s="3" t="s">
        <v>126</v>
      </c>
      <c r="FF73" s="3">
        <f t="shared" si="196"/>
        <v>0</v>
      </c>
      <c r="FG73" s="3">
        <v>6000</v>
      </c>
      <c r="FH73" s="3">
        <f t="shared" si="175"/>
        <v>0</v>
      </c>
      <c r="FI73" s="1">
        <f t="shared" si="176"/>
        <v>680000</v>
      </c>
      <c r="FJ73" s="3" t="s">
        <v>139</v>
      </c>
      <c r="FK73" s="2">
        <v>40</v>
      </c>
      <c r="FL73" s="2">
        <v>6000</v>
      </c>
      <c r="FM73" s="3">
        <f t="shared" si="177"/>
        <v>240000</v>
      </c>
      <c r="FN73" s="3" t="s">
        <v>139</v>
      </c>
      <c r="FO73" s="2"/>
      <c r="FP73" s="3">
        <v>6000</v>
      </c>
      <c r="FQ73" s="3">
        <f t="shared" si="197"/>
        <v>0</v>
      </c>
      <c r="FR73" s="3" t="s">
        <v>139</v>
      </c>
      <c r="FS73" s="13"/>
      <c r="FT73" s="15">
        <v>6000</v>
      </c>
      <c r="FU73" s="3">
        <f t="shared" si="178"/>
        <v>0</v>
      </c>
      <c r="FV73" s="3" t="s">
        <v>139</v>
      </c>
      <c r="FW73" s="14"/>
      <c r="FX73" s="3">
        <v>8000</v>
      </c>
      <c r="FY73" s="3">
        <f t="shared" si="179"/>
        <v>0</v>
      </c>
      <c r="FZ73" s="3" t="s">
        <v>139</v>
      </c>
      <c r="GA73" s="3">
        <v>2</v>
      </c>
      <c r="GB73" s="3">
        <v>8000</v>
      </c>
      <c r="GC73" s="3">
        <f t="shared" si="180"/>
        <v>16000</v>
      </c>
      <c r="GD73" s="3" t="s">
        <v>139</v>
      </c>
      <c r="GE73" s="3">
        <v>10</v>
      </c>
      <c r="GF73" s="3">
        <v>10000</v>
      </c>
      <c r="GG73" s="3">
        <f t="shared" si="181"/>
        <v>100000</v>
      </c>
      <c r="GH73" s="3" t="s">
        <v>139</v>
      </c>
      <c r="GI73" s="14"/>
      <c r="GJ73" s="14"/>
      <c r="GK73" s="3">
        <f t="shared" si="182"/>
        <v>0</v>
      </c>
      <c r="GL73" s="92">
        <f t="shared" si="183"/>
        <v>356000</v>
      </c>
      <c r="GM73" s="8">
        <f t="shared" si="184"/>
        <v>2606000</v>
      </c>
      <c r="GN73" s="8">
        <f t="shared" si="185"/>
        <v>1000</v>
      </c>
      <c r="GO73" s="102">
        <v>13000</v>
      </c>
      <c r="GP73" s="8">
        <f t="shared" si="198"/>
        <v>13000000</v>
      </c>
      <c r="GQ73" s="8">
        <f t="shared" si="186"/>
        <v>26000000</v>
      </c>
      <c r="GR73" s="8">
        <f t="shared" si="187"/>
        <v>10394000</v>
      </c>
      <c r="GS73" s="8">
        <f t="shared" si="188"/>
        <v>23394000</v>
      </c>
      <c r="GT73" s="15" t="s">
        <v>1813</v>
      </c>
      <c r="GU73" s="47" t="s">
        <v>1812</v>
      </c>
    </row>
    <row r="74" spans="1:203" s="52" customFormat="1" ht="158.25" customHeight="1">
      <c r="A74" s="44">
        <v>75</v>
      </c>
      <c r="B74" s="22" t="s">
        <v>1250</v>
      </c>
      <c r="C74" s="15" t="s">
        <v>1231</v>
      </c>
      <c r="D74" s="15" t="s">
        <v>2012</v>
      </c>
      <c r="E74" s="14" t="s">
        <v>2013</v>
      </c>
      <c r="F74" s="15" t="s">
        <v>2013</v>
      </c>
      <c r="G74" s="15" t="s">
        <v>1232</v>
      </c>
      <c r="H74" s="15" t="s">
        <v>1233</v>
      </c>
      <c r="I74" s="15" t="s">
        <v>1234</v>
      </c>
      <c r="J74" s="15" t="s">
        <v>1235</v>
      </c>
      <c r="K74" s="15" t="s">
        <v>1236</v>
      </c>
      <c r="L74" s="15" t="s">
        <v>1237</v>
      </c>
      <c r="M74" s="15" t="s">
        <v>1238</v>
      </c>
      <c r="N74" s="15" t="s">
        <v>1239</v>
      </c>
      <c r="O74" s="15" t="s">
        <v>1240</v>
      </c>
      <c r="P74" s="15" t="s">
        <v>1241</v>
      </c>
      <c r="Q74" s="15" t="s">
        <v>1180</v>
      </c>
      <c r="R74" s="15">
        <v>25000</v>
      </c>
      <c r="S74" s="15">
        <v>30000</v>
      </c>
      <c r="T74" s="15">
        <v>200</v>
      </c>
      <c r="U74" s="54">
        <v>120</v>
      </c>
      <c r="V74" s="15">
        <v>1825</v>
      </c>
      <c r="W74" s="15" t="s">
        <v>1242</v>
      </c>
      <c r="X74" s="15">
        <v>10</v>
      </c>
      <c r="Y74" s="15">
        <v>20</v>
      </c>
      <c r="Z74" s="15" t="s">
        <v>1243</v>
      </c>
      <c r="AA74" s="15" t="s">
        <v>1244</v>
      </c>
      <c r="AB74" s="15" t="s">
        <v>1245</v>
      </c>
      <c r="AC74" s="3">
        <v>50000</v>
      </c>
      <c r="AD74" s="15">
        <v>5</v>
      </c>
      <c r="AE74" s="14"/>
      <c r="AF74" s="3">
        <v>80000</v>
      </c>
      <c r="AG74" s="3">
        <f t="shared" si="211"/>
        <v>250000</v>
      </c>
      <c r="AH74" s="15" t="s">
        <v>1246</v>
      </c>
      <c r="AI74" s="14"/>
      <c r="AJ74" s="15">
        <v>1000</v>
      </c>
      <c r="AK74" s="14">
        <v>200</v>
      </c>
      <c r="AL74" s="15">
        <v>6000</v>
      </c>
      <c r="AM74" s="15"/>
      <c r="AN74" s="15">
        <v>3000</v>
      </c>
      <c r="AO74" s="42"/>
      <c r="AP74" s="15">
        <v>6000</v>
      </c>
      <c r="AQ74" s="2">
        <f t="shared" si="199"/>
        <v>1200000</v>
      </c>
      <c r="AR74" s="15" t="s">
        <v>1247</v>
      </c>
      <c r="AS74" s="15" t="s">
        <v>1248</v>
      </c>
      <c r="AT74" s="2" t="s">
        <v>139</v>
      </c>
      <c r="AU74" s="36"/>
      <c r="AV74" s="3">
        <v>6000</v>
      </c>
      <c r="AW74" s="2">
        <f t="shared" si="134"/>
        <v>0</v>
      </c>
      <c r="AX74" s="3" t="s">
        <v>139</v>
      </c>
      <c r="AY74" s="14"/>
      <c r="AZ74" s="3">
        <v>6000</v>
      </c>
      <c r="BA74" s="3">
        <f t="shared" si="164"/>
        <v>0</v>
      </c>
      <c r="BB74" s="3" t="s">
        <v>139</v>
      </c>
      <c r="BC74" s="34"/>
      <c r="BD74" s="3">
        <v>6000</v>
      </c>
      <c r="BE74" s="3">
        <f t="shared" si="165"/>
        <v>0</v>
      </c>
      <c r="BF74" s="3" t="s">
        <v>125</v>
      </c>
      <c r="BG74" s="3"/>
      <c r="BH74" s="3">
        <v>6000</v>
      </c>
      <c r="BI74" s="3">
        <f t="shared" si="215"/>
        <v>0</v>
      </c>
      <c r="BJ74" s="13" t="s">
        <v>20</v>
      </c>
      <c r="BK74" s="14"/>
      <c r="BL74" s="3">
        <v>1000</v>
      </c>
      <c r="BM74" s="3">
        <f t="shared" ref="BM74:BM104" si="258">BK74*BL74</f>
        <v>0</v>
      </c>
      <c r="BN74" s="13" t="s">
        <v>20</v>
      </c>
      <c r="BO74" s="14"/>
      <c r="BP74" s="2">
        <v>3000</v>
      </c>
      <c r="BQ74" s="14"/>
      <c r="BR74" s="2" t="s">
        <v>126</v>
      </c>
      <c r="BS74" s="14"/>
      <c r="BT74" s="2">
        <f>6000</f>
        <v>6000</v>
      </c>
      <c r="BU74" s="3">
        <f t="shared" si="256"/>
        <v>0</v>
      </c>
      <c r="BV74" s="2" t="s">
        <v>126</v>
      </c>
      <c r="BW74" s="14"/>
      <c r="BX74" s="2">
        <v>6000</v>
      </c>
      <c r="BY74" s="3">
        <f t="shared" si="136"/>
        <v>0</v>
      </c>
      <c r="BZ74" s="92">
        <f t="shared" si="216"/>
        <v>0</v>
      </c>
      <c r="CA74" s="2" t="s">
        <v>139</v>
      </c>
      <c r="CB74" s="3">
        <v>5</v>
      </c>
      <c r="CC74" s="3">
        <v>8000</v>
      </c>
      <c r="CD74" s="3">
        <f t="shared" si="200"/>
        <v>40000</v>
      </c>
      <c r="CE74" s="2" t="s">
        <v>139</v>
      </c>
      <c r="CF74" s="2">
        <v>30</v>
      </c>
      <c r="CG74" s="2">
        <v>6000</v>
      </c>
      <c r="CH74" s="3">
        <f t="shared" si="201"/>
        <v>180000</v>
      </c>
      <c r="CI74" s="3" t="s">
        <v>139</v>
      </c>
      <c r="CJ74" s="3">
        <v>1</v>
      </c>
      <c r="CK74" s="14"/>
      <c r="CL74" s="3">
        <f t="shared" si="166"/>
        <v>0</v>
      </c>
      <c r="CM74" s="5">
        <f t="shared" si="167"/>
        <v>220000</v>
      </c>
      <c r="CN74" s="3" t="s">
        <v>125</v>
      </c>
      <c r="CO74" s="3">
        <v>0</v>
      </c>
      <c r="CP74" s="3">
        <v>6000</v>
      </c>
      <c r="CQ74" s="3">
        <f t="shared" si="154"/>
        <v>0</v>
      </c>
      <c r="CR74" s="3" t="s">
        <v>125</v>
      </c>
      <c r="CS74" s="3">
        <v>75</v>
      </c>
      <c r="CT74" s="3">
        <v>6000</v>
      </c>
      <c r="CU74" s="3">
        <f t="shared" si="155"/>
        <v>450000</v>
      </c>
      <c r="CV74" s="3" t="s">
        <v>125</v>
      </c>
      <c r="CW74" s="3">
        <v>30</v>
      </c>
      <c r="CX74" s="3">
        <v>6000</v>
      </c>
      <c r="CY74" s="3">
        <f t="shared" si="219"/>
        <v>180000</v>
      </c>
      <c r="CZ74" s="3" t="s">
        <v>125</v>
      </c>
      <c r="DA74" s="3">
        <v>15</v>
      </c>
      <c r="DB74" s="3">
        <v>6000</v>
      </c>
      <c r="DC74" s="3">
        <f t="shared" si="220"/>
        <v>90000</v>
      </c>
      <c r="DD74" s="3" t="s">
        <v>125</v>
      </c>
      <c r="DE74" s="3">
        <v>5</v>
      </c>
      <c r="DF74" s="3">
        <v>6000</v>
      </c>
      <c r="DG74" s="3">
        <f t="shared" si="257"/>
        <v>30000</v>
      </c>
      <c r="DH74" s="3" t="s">
        <v>125</v>
      </c>
      <c r="DI74" s="3">
        <v>100</v>
      </c>
      <c r="DJ74" s="3">
        <v>6000</v>
      </c>
      <c r="DK74" s="3">
        <f t="shared" si="158"/>
        <v>600000</v>
      </c>
      <c r="DL74" s="3" t="s">
        <v>125</v>
      </c>
      <c r="DM74" s="3"/>
      <c r="DN74" s="3">
        <v>6000</v>
      </c>
      <c r="DO74" s="3">
        <f t="shared" si="159"/>
        <v>0</v>
      </c>
      <c r="DP74" s="3" t="s">
        <v>125</v>
      </c>
      <c r="DQ74" s="3"/>
      <c r="DR74" s="3">
        <v>6000</v>
      </c>
      <c r="DS74" s="3">
        <f t="shared" si="213"/>
        <v>0</v>
      </c>
      <c r="DT74" s="6">
        <f t="shared" si="214"/>
        <v>1350000</v>
      </c>
      <c r="DU74" s="2" t="s">
        <v>157</v>
      </c>
      <c r="DV74" s="3">
        <f t="shared" si="189"/>
        <v>25000</v>
      </c>
      <c r="DW74" s="3">
        <f t="shared" si="190"/>
        <v>200</v>
      </c>
      <c r="DX74" s="3">
        <f t="shared" si="168"/>
        <v>5000000</v>
      </c>
      <c r="DY74" s="3" t="s">
        <v>127</v>
      </c>
      <c r="DZ74" s="3">
        <f t="shared" si="191"/>
        <v>5</v>
      </c>
      <c r="EA74" s="2">
        <v>50000</v>
      </c>
      <c r="EB74" s="3">
        <f t="shared" si="169"/>
        <v>250000</v>
      </c>
      <c r="EC74" s="2" t="s">
        <v>127</v>
      </c>
      <c r="ED74" s="3">
        <f t="shared" si="192"/>
        <v>0</v>
      </c>
      <c r="EE74" s="3">
        <v>80000</v>
      </c>
      <c r="EF74" s="3">
        <f t="shared" si="170"/>
        <v>0</v>
      </c>
      <c r="EG74" s="2" t="s">
        <v>157</v>
      </c>
      <c r="EH74" s="3">
        <f t="shared" si="193"/>
        <v>200</v>
      </c>
      <c r="EI74" s="3">
        <v>6000</v>
      </c>
      <c r="EJ74" s="7">
        <f t="shared" si="124"/>
        <v>1200000</v>
      </c>
      <c r="EK74" s="2" t="s">
        <v>157</v>
      </c>
      <c r="EL74" s="13">
        <f t="shared" si="149"/>
        <v>0</v>
      </c>
      <c r="EM74" s="3">
        <v>3000</v>
      </c>
      <c r="EN74" s="3">
        <f t="shared" si="171"/>
        <v>0</v>
      </c>
      <c r="EO74" s="3" t="s">
        <v>126</v>
      </c>
      <c r="EP74" s="3">
        <f t="shared" si="194"/>
        <v>0</v>
      </c>
      <c r="EQ74" s="3">
        <v>1000</v>
      </c>
      <c r="ER74" s="7">
        <f t="shared" si="195"/>
        <v>0</v>
      </c>
      <c r="ES74" s="3" t="s">
        <v>124</v>
      </c>
      <c r="ET74" s="2">
        <v>1</v>
      </c>
      <c r="EU74" s="3">
        <v>60000</v>
      </c>
      <c r="EV74" s="3">
        <f t="shared" si="172"/>
        <v>60000</v>
      </c>
      <c r="EW74" s="3" t="s">
        <v>124</v>
      </c>
      <c r="EX74" s="14"/>
      <c r="EY74" s="3">
        <v>60000</v>
      </c>
      <c r="EZ74" s="3">
        <f t="shared" si="173"/>
        <v>0</v>
      </c>
      <c r="FA74" s="3" t="s">
        <v>170</v>
      </c>
      <c r="FB74" s="14"/>
      <c r="FC74" s="3">
        <v>1000</v>
      </c>
      <c r="FD74" s="3">
        <f t="shared" si="174"/>
        <v>0</v>
      </c>
      <c r="FE74" s="3" t="s">
        <v>126</v>
      </c>
      <c r="FF74" s="3">
        <f t="shared" si="196"/>
        <v>0</v>
      </c>
      <c r="FG74" s="3">
        <v>6000</v>
      </c>
      <c r="FH74" s="3">
        <f t="shared" si="175"/>
        <v>0</v>
      </c>
      <c r="FI74" s="1">
        <f t="shared" si="176"/>
        <v>6510000</v>
      </c>
      <c r="FJ74" s="3" t="s">
        <v>139</v>
      </c>
      <c r="FK74" s="2">
        <v>40</v>
      </c>
      <c r="FL74" s="2">
        <v>6000</v>
      </c>
      <c r="FM74" s="3">
        <f t="shared" si="177"/>
        <v>240000</v>
      </c>
      <c r="FN74" s="3" t="s">
        <v>139</v>
      </c>
      <c r="FO74" s="2"/>
      <c r="FP74" s="3">
        <v>6000</v>
      </c>
      <c r="FQ74" s="3">
        <f t="shared" si="197"/>
        <v>0</v>
      </c>
      <c r="FR74" s="3" t="s">
        <v>139</v>
      </c>
      <c r="FS74" s="13"/>
      <c r="FT74" s="15">
        <v>6000</v>
      </c>
      <c r="FU74" s="3">
        <f t="shared" si="178"/>
        <v>0</v>
      </c>
      <c r="FV74" s="3" t="s">
        <v>139</v>
      </c>
      <c r="FW74" s="14"/>
      <c r="FX74" s="3">
        <v>8000</v>
      </c>
      <c r="FY74" s="3">
        <f t="shared" si="179"/>
        <v>0</v>
      </c>
      <c r="FZ74" s="3" t="s">
        <v>139</v>
      </c>
      <c r="GA74" s="3">
        <v>2</v>
      </c>
      <c r="GB74" s="3">
        <v>8000</v>
      </c>
      <c r="GC74" s="3">
        <f t="shared" si="180"/>
        <v>16000</v>
      </c>
      <c r="GD74" s="3" t="s">
        <v>139</v>
      </c>
      <c r="GE74" s="3">
        <v>10</v>
      </c>
      <c r="GF74" s="3">
        <v>10000</v>
      </c>
      <c r="GG74" s="3">
        <f t="shared" si="181"/>
        <v>100000</v>
      </c>
      <c r="GH74" s="3" t="s">
        <v>139</v>
      </c>
      <c r="GI74" s="14"/>
      <c r="GJ74" s="14"/>
      <c r="GK74" s="3">
        <f t="shared" si="182"/>
        <v>0</v>
      </c>
      <c r="GL74" s="92">
        <f t="shared" si="183"/>
        <v>356000</v>
      </c>
      <c r="GM74" s="8">
        <f t="shared" si="184"/>
        <v>8436000</v>
      </c>
      <c r="GN74" s="8">
        <f t="shared" si="185"/>
        <v>10000</v>
      </c>
      <c r="GO74" s="102">
        <v>1000</v>
      </c>
      <c r="GP74" s="8">
        <f t="shared" si="198"/>
        <v>10000000</v>
      </c>
      <c r="GQ74" s="8">
        <f t="shared" si="186"/>
        <v>20000000</v>
      </c>
      <c r="GR74" s="8">
        <f t="shared" si="187"/>
        <v>1564000</v>
      </c>
      <c r="GS74" s="8">
        <f t="shared" si="188"/>
        <v>11564000</v>
      </c>
      <c r="GT74" s="15" t="s">
        <v>1814</v>
      </c>
      <c r="GU74" s="47" t="s">
        <v>1249</v>
      </c>
    </row>
    <row r="75" spans="1:203" s="52" customFormat="1" ht="158.25" customHeight="1">
      <c r="A75" s="44">
        <v>76</v>
      </c>
      <c r="B75" s="22" t="s">
        <v>835</v>
      </c>
      <c r="C75" s="14" t="s">
        <v>836</v>
      </c>
      <c r="D75" s="14" t="s">
        <v>837</v>
      </c>
      <c r="E75" s="14" t="s">
        <v>1251</v>
      </c>
      <c r="F75" s="15" t="s">
        <v>1251</v>
      </c>
      <c r="G75" s="14" t="s">
        <v>1252</v>
      </c>
      <c r="H75" s="15" t="s">
        <v>1253</v>
      </c>
      <c r="I75" s="15" t="s">
        <v>1254</v>
      </c>
      <c r="J75" s="15" t="s">
        <v>1255</v>
      </c>
      <c r="K75" s="15" t="s">
        <v>1256</v>
      </c>
      <c r="L75" s="15" t="s">
        <v>1257</v>
      </c>
      <c r="M75" s="15" t="s">
        <v>1258</v>
      </c>
      <c r="N75" s="15" t="s">
        <v>838</v>
      </c>
      <c r="O75" s="15" t="s">
        <v>1259</v>
      </c>
      <c r="P75" s="15" t="s">
        <v>1260</v>
      </c>
      <c r="Q75" s="15" t="s">
        <v>1180</v>
      </c>
      <c r="R75" s="15">
        <v>35000</v>
      </c>
      <c r="S75" s="15">
        <v>50000</v>
      </c>
      <c r="T75" s="14">
        <v>200</v>
      </c>
      <c r="U75" s="14">
        <v>90</v>
      </c>
      <c r="V75" s="14">
        <v>1825</v>
      </c>
      <c r="W75" s="15" t="s">
        <v>1261</v>
      </c>
      <c r="X75" s="15">
        <v>5</v>
      </c>
      <c r="Y75" s="15">
        <v>10</v>
      </c>
      <c r="Z75" s="15" t="s">
        <v>1262</v>
      </c>
      <c r="AA75" s="15" t="s">
        <v>1263</v>
      </c>
      <c r="AB75" s="15" t="s">
        <v>1264</v>
      </c>
      <c r="AC75" s="3">
        <v>50000</v>
      </c>
      <c r="AD75" s="14"/>
      <c r="AE75" s="14">
        <v>5</v>
      </c>
      <c r="AF75" s="3">
        <v>80000</v>
      </c>
      <c r="AG75" s="3">
        <f t="shared" si="211"/>
        <v>400000</v>
      </c>
      <c r="AH75" s="15" t="s">
        <v>1265</v>
      </c>
      <c r="AI75" s="14">
        <v>200</v>
      </c>
      <c r="AJ75" s="15">
        <v>1000</v>
      </c>
      <c r="AK75" s="14"/>
      <c r="AL75" s="15">
        <v>6000</v>
      </c>
      <c r="AM75" s="15"/>
      <c r="AN75" s="15">
        <v>3000</v>
      </c>
      <c r="AO75" s="42"/>
      <c r="AP75" s="15">
        <v>6000</v>
      </c>
      <c r="AQ75" s="2">
        <f t="shared" si="199"/>
        <v>200000</v>
      </c>
      <c r="AR75" s="15" t="s">
        <v>1266</v>
      </c>
      <c r="AS75" s="15" t="s">
        <v>1267</v>
      </c>
      <c r="AT75" s="2" t="s">
        <v>139</v>
      </c>
      <c r="AU75" s="13">
        <v>7.5</v>
      </c>
      <c r="AV75" s="3">
        <v>6000</v>
      </c>
      <c r="AW75" s="2">
        <f t="shared" si="134"/>
        <v>45000</v>
      </c>
      <c r="AX75" s="2" t="s">
        <v>139</v>
      </c>
      <c r="AY75" s="13">
        <v>5</v>
      </c>
      <c r="AZ75" s="3">
        <v>6000</v>
      </c>
      <c r="BA75" s="2">
        <f t="shared" si="164"/>
        <v>30000</v>
      </c>
      <c r="BB75" s="2" t="s">
        <v>139</v>
      </c>
      <c r="BC75" s="13">
        <v>2</v>
      </c>
      <c r="BD75" s="3">
        <v>6000</v>
      </c>
      <c r="BE75" s="3">
        <f t="shared" si="165"/>
        <v>12000</v>
      </c>
      <c r="BF75" s="3" t="s">
        <v>125</v>
      </c>
      <c r="BG75" s="2">
        <v>2</v>
      </c>
      <c r="BH75" s="3">
        <v>6000</v>
      </c>
      <c r="BI75" s="3">
        <f t="shared" si="215"/>
        <v>12000</v>
      </c>
      <c r="BJ75" s="3" t="s">
        <v>126</v>
      </c>
      <c r="BK75" s="13"/>
      <c r="BL75" s="3">
        <v>1000</v>
      </c>
      <c r="BM75" s="3">
        <f t="shared" si="258"/>
        <v>0</v>
      </c>
      <c r="BN75" s="13" t="s">
        <v>20</v>
      </c>
      <c r="BO75" s="13"/>
      <c r="BP75" s="2">
        <v>3000</v>
      </c>
      <c r="BQ75" s="3">
        <f>BO75*BP75</f>
        <v>0</v>
      </c>
      <c r="BR75" s="2" t="s">
        <v>126</v>
      </c>
      <c r="BS75" s="13"/>
      <c r="BT75" s="2">
        <f>6000</f>
        <v>6000</v>
      </c>
      <c r="BU75" s="3">
        <f t="shared" si="256"/>
        <v>0</v>
      </c>
      <c r="BV75" s="2" t="s">
        <v>126</v>
      </c>
      <c r="BW75" s="13">
        <v>9</v>
      </c>
      <c r="BX75" s="2">
        <v>6000</v>
      </c>
      <c r="BY75" s="3">
        <f t="shared" si="136"/>
        <v>54000</v>
      </c>
      <c r="BZ75" s="92">
        <f t="shared" si="216"/>
        <v>123000</v>
      </c>
      <c r="CA75" s="2" t="s">
        <v>139</v>
      </c>
      <c r="CB75" s="3">
        <v>5</v>
      </c>
      <c r="CC75" s="3">
        <v>8000</v>
      </c>
      <c r="CD75" s="3">
        <f t="shared" si="200"/>
        <v>40000</v>
      </c>
      <c r="CE75" s="2" t="s">
        <v>139</v>
      </c>
      <c r="CF75" s="2">
        <v>30</v>
      </c>
      <c r="CG75" s="2">
        <v>6000</v>
      </c>
      <c r="CH75" s="3">
        <f t="shared" si="201"/>
        <v>180000</v>
      </c>
      <c r="CI75" s="3" t="s">
        <v>139</v>
      </c>
      <c r="CJ75" s="3">
        <v>1</v>
      </c>
      <c r="CK75" s="14"/>
      <c r="CL75" s="3">
        <f t="shared" si="166"/>
        <v>0</v>
      </c>
      <c r="CM75" s="5">
        <f t="shared" si="167"/>
        <v>220000</v>
      </c>
      <c r="CN75" s="3" t="s">
        <v>125</v>
      </c>
      <c r="CO75" s="3">
        <v>0</v>
      </c>
      <c r="CP75" s="3">
        <v>6000</v>
      </c>
      <c r="CQ75" s="3">
        <f t="shared" si="154"/>
        <v>0</v>
      </c>
      <c r="CR75" s="3" t="s">
        <v>125</v>
      </c>
      <c r="CS75" s="3">
        <v>75</v>
      </c>
      <c r="CT75" s="3">
        <v>6000</v>
      </c>
      <c r="CU75" s="3">
        <f t="shared" si="155"/>
        <v>450000</v>
      </c>
      <c r="CV75" s="3" t="s">
        <v>125</v>
      </c>
      <c r="CW75" s="3">
        <v>30</v>
      </c>
      <c r="CX75" s="3">
        <v>6000</v>
      </c>
      <c r="CY75" s="3">
        <f t="shared" si="219"/>
        <v>180000</v>
      </c>
      <c r="CZ75" s="3" t="s">
        <v>125</v>
      </c>
      <c r="DA75" s="3">
        <v>15</v>
      </c>
      <c r="DB75" s="3">
        <v>6000</v>
      </c>
      <c r="DC75" s="3">
        <f t="shared" si="220"/>
        <v>90000</v>
      </c>
      <c r="DD75" s="3" t="s">
        <v>125</v>
      </c>
      <c r="DE75" s="3">
        <v>5</v>
      </c>
      <c r="DF75" s="3">
        <v>6000</v>
      </c>
      <c r="DG75" s="3">
        <f t="shared" si="121"/>
        <v>30000</v>
      </c>
      <c r="DH75" s="3" t="s">
        <v>125</v>
      </c>
      <c r="DI75" s="3">
        <v>100</v>
      </c>
      <c r="DJ75" s="3">
        <v>6000</v>
      </c>
      <c r="DK75" s="3">
        <f t="shared" si="158"/>
        <v>600000</v>
      </c>
      <c r="DL75" s="3" t="s">
        <v>125</v>
      </c>
      <c r="DM75" s="3"/>
      <c r="DN75" s="3">
        <v>6000</v>
      </c>
      <c r="DO75" s="3">
        <f t="shared" si="159"/>
        <v>0</v>
      </c>
      <c r="DP75" s="3" t="s">
        <v>125</v>
      </c>
      <c r="DQ75" s="3"/>
      <c r="DR75" s="3">
        <v>6000</v>
      </c>
      <c r="DS75" s="3">
        <f t="shared" si="213"/>
        <v>0</v>
      </c>
      <c r="DT75" s="6">
        <f t="shared" si="214"/>
        <v>1350000</v>
      </c>
      <c r="DU75" s="2" t="s">
        <v>157</v>
      </c>
      <c r="DV75" s="3">
        <f t="shared" si="189"/>
        <v>35000</v>
      </c>
      <c r="DW75" s="3">
        <f t="shared" si="190"/>
        <v>200</v>
      </c>
      <c r="DX75" s="3">
        <f t="shared" si="168"/>
        <v>7000000</v>
      </c>
      <c r="DY75" s="3" t="s">
        <v>127</v>
      </c>
      <c r="DZ75" s="3">
        <f t="shared" si="191"/>
        <v>0</v>
      </c>
      <c r="EA75" s="2">
        <v>50000</v>
      </c>
      <c r="EB75" s="3">
        <f t="shared" si="169"/>
        <v>0</v>
      </c>
      <c r="EC75" s="2" t="s">
        <v>127</v>
      </c>
      <c r="ED75" s="3">
        <f t="shared" si="192"/>
        <v>5</v>
      </c>
      <c r="EE75" s="3">
        <v>80000</v>
      </c>
      <c r="EF75" s="3">
        <f t="shared" si="170"/>
        <v>400000</v>
      </c>
      <c r="EG75" s="2" t="s">
        <v>157</v>
      </c>
      <c r="EH75" s="3">
        <f t="shared" si="193"/>
        <v>0</v>
      </c>
      <c r="EI75" s="3">
        <v>6000</v>
      </c>
      <c r="EJ75" s="7">
        <f t="shared" si="124"/>
        <v>0</v>
      </c>
      <c r="EK75" s="2" t="s">
        <v>157</v>
      </c>
      <c r="EL75" s="13">
        <f t="shared" si="149"/>
        <v>0</v>
      </c>
      <c r="EM75" s="3">
        <v>3000</v>
      </c>
      <c r="EN75" s="3">
        <f t="shared" si="171"/>
        <v>0</v>
      </c>
      <c r="EO75" s="3" t="s">
        <v>126</v>
      </c>
      <c r="EP75" s="3">
        <f t="shared" si="194"/>
        <v>200</v>
      </c>
      <c r="EQ75" s="3">
        <v>1000</v>
      </c>
      <c r="ER75" s="7">
        <f t="shared" si="195"/>
        <v>200000</v>
      </c>
      <c r="ES75" s="3" t="s">
        <v>124</v>
      </c>
      <c r="ET75" s="2">
        <v>1</v>
      </c>
      <c r="EU75" s="3">
        <v>60000</v>
      </c>
      <c r="EV75" s="3">
        <f t="shared" si="172"/>
        <v>60000</v>
      </c>
      <c r="EW75" s="3" t="s">
        <v>124</v>
      </c>
      <c r="EX75" s="14"/>
      <c r="EY75" s="3">
        <v>60000</v>
      </c>
      <c r="EZ75" s="3">
        <f t="shared" si="173"/>
        <v>0</v>
      </c>
      <c r="FA75" s="3" t="s">
        <v>170</v>
      </c>
      <c r="FB75" s="14"/>
      <c r="FC75" s="3">
        <v>1000</v>
      </c>
      <c r="FD75" s="3">
        <f t="shared" si="174"/>
        <v>0</v>
      </c>
      <c r="FE75" s="3" t="s">
        <v>126</v>
      </c>
      <c r="FF75" s="3">
        <f t="shared" si="196"/>
        <v>0</v>
      </c>
      <c r="FG75" s="3">
        <v>6000</v>
      </c>
      <c r="FH75" s="3">
        <f t="shared" si="175"/>
        <v>0</v>
      </c>
      <c r="FI75" s="1">
        <f t="shared" si="176"/>
        <v>7660000</v>
      </c>
      <c r="FJ75" s="3" t="s">
        <v>139</v>
      </c>
      <c r="FK75" s="2">
        <v>40</v>
      </c>
      <c r="FL75" s="2">
        <v>6000</v>
      </c>
      <c r="FM75" s="3">
        <f t="shared" si="177"/>
        <v>240000</v>
      </c>
      <c r="FN75" s="3" t="s">
        <v>139</v>
      </c>
      <c r="FO75" s="2"/>
      <c r="FP75" s="3">
        <v>6000</v>
      </c>
      <c r="FQ75" s="3">
        <f t="shared" si="197"/>
        <v>0</v>
      </c>
      <c r="FR75" s="3" t="s">
        <v>139</v>
      </c>
      <c r="FS75" s="13"/>
      <c r="FT75" s="15">
        <v>6000</v>
      </c>
      <c r="FU75" s="3">
        <f t="shared" si="178"/>
        <v>0</v>
      </c>
      <c r="FV75" s="3" t="s">
        <v>139</v>
      </c>
      <c r="FW75" s="14"/>
      <c r="FX75" s="3">
        <v>8000</v>
      </c>
      <c r="FY75" s="3">
        <f t="shared" si="179"/>
        <v>0</v>
      </c>
      <c r="FZ75" s="3" t="s">
        <v>139</v>
      </c>
      <c r="GA75" s="3">
        <v>2</v>
      </c>
      <c r="GB75" s="3">
        <v>8000</v>
      </c>
      <c r="GC75" s="3">
        <f t="shared" si="180"/>
        <v>16000</v>
      </c>
      <c r="GD75" s="3" t="s">
        <v>139</v>
      </c>
      <c r="GE75" s="3">
        <v>10</v>
      </c>
      <c r="GF75" s="3">
        <v>10000</v>
      </c>
      <c r="GG75" s="3">
        <f t="shared" si="181"/>
        <v>100000</v>
      </c>
      <c r="GH75" s="3" t="s">
        <v>139</v>
      </c>
      <c r="GI75" s="14"/>
      <c r="GJ75" s="14"/>
      <c r="GK75" s="3">
        <f t="shared" si="182"/>
        <v>0</v>
      </c>
      <c r="GL75" s="92">
        <f t="shared" si="183"/>
        <v>356000</v>
      </c>
      <c r="GM75" s="8">
        <f t="shared" si="184"/>
        <v>9709000</v>
      </c>
      <c r="GN75" s="8">
        <f t="shared" si="185"/>
        <v>5000</v>
      </c>
      <c r="GO75" s="102">
        <v>8000</v>
      </c>
      <c r="GP75" s="8">
        <f t="shared" si="198"/>
        <v>40000000</v>
      </c>
      <c r="GQ75" s="8">
        <f t="shared" si="186"/>
        <v>80000000</v>
      </c>
      <c r="GR75" s="8">
        <f t="shared" si="187"/>
        <v>30291000</v>
      </c>
      <c r="GS75" s="8">
        <f t="shared" si="188"/>
        <v>70291000</v>
      </c>
      <c r="GT75" s="15" t="s">
        <v>1815</v>
      </c>
      <c r="GU75" s="47" t="s">
        <v>1268</v>
      </c>
    </row>
    <row r="76" spans="1:203" s="53" customFormat="1" ht="158.25" customHeight="1">
      <c r="A76" s="44">
        <v>77</v>
      </c>
      <c r="B76" s="23" t="s">
        <v>839</v>
      </c>
      <c r="C76" s="15" t="s">
        <v>1269</v>
      </c>
      <c r="D76" s="15" t="s">
        <v>1271</v>
      </c>
      <c r="E76" s="13" t="s">
        <v>1272</v>
      </c>
      <c r="F76" s="15" t="s">
        <v>840</v>
      </c>
      <c r="G76" s="14" t="s">
        <v>1270</v>
      </c>
      <c r="H76" s="15" t="s">
        <v>1273</v>
      </c>
      <c r="I76" s="15" t="s">
        <v>1274</v>
      </c>
      <c r="J76" s="15" t="s">
        <v>1275</v>
      </c>
      <c r="K76" s="15" t="s">
        <v>1276</v>
      </c>
      <c r="L76" s="15" t="s">
        <v>1277</v>
      </c>
      <c r="M76" s="15" t="s">
        <v>1278</v>
      </c>
      <c r="N76" s="15" t="s">
        <v>1279</v>
      </c>
      <c r="O76" s="15" t="s">
        <v>1280</v>
      </c>
      <c r="P76" s="15" t="s">
        <v>1282</v>
      </c>
      <c r="Q76" s="15" t="s">
        <v>1281</v>
      </c>
      <c r="R76" s="15">
        <v>30000</v>
      </c>
      <c r="S76" s="55">
        <v>50000</v>
      </c>
      <c r="T76" s="15">
        <v>300</v>
      </c>
      <c r="U76" s="13">
        <v>60</v>
      </c>
      <c r="V76" s="13">
        <v>210</v>
      </c>
      <c r="W76" s="15" t="s">
        <v>1283</v>
      </c>
      <c r="X76" s="15">
        <v>8</v>
      </c>
      <c r="Y76" s="15">
        <v>15</v>
      </c>
      <c r="Z76" s="15" t="s">
        <v>1284</v>
      </c>
      <c r="AA76" s="15" t="s">
        <v>1285</v>
      </c>
      <c r="AB76" s="15" t="s">
        <v>1286</v>
      </c>
      <c r="AC76" s="3">
        <v>50000</v>
      </c>
      <c r="AD76" s="13">
        <v>10</v>
      </c>
      <c r="AE76" s="13"/>
      <c r="AF76" s="3">
        <v>80000</v>
      </c>
      <c r="AG76" s="3">
        <f t="shared" si="211"/>
        <v>500000</v>
      </c>
      <c r="AH76" s="15" t="s">
        <v>1287</v>
      </c>
      <c r="AI76" s="13"/>
      <c r="AJ76" s="15">
        <v>1000</v>
      </c>
      <c r="AK76" s="13">
        <v>250</v>
      </c>
      <c r="AL76" s="15">
        <v>6000</v>
      </c>
      <c r="AM76" s="15"/>
      <c r="AN76" s="15">
        <v>3000</v>
      </c>
      <c r="AO76" s="42"/>
      <c r="AP76" s="15">
        <v>6000</v>
      </c>
      <c r="AQ76" s="2">
        <f t="shared" si="199"/>
        <v>1500000</v>
      </c>
      <c r="AR76" s="15" t="s">
        <v>1288</v>
      </c>
      <c r="AS76" s="15" t="s">
        <v>1289</v>
      </c>
      <c r="AT76" s="2" t="s">
        <v>139</v>
      </c>
      <c r="AU76" s="36"/>
      <c r="AV76" s="3">
        <v>6000</v>
      </c>
      <c r="AW76" s="2">
        <f t="shared" si="134"/>
        <v>0</v>
      </c>
      <c r="AX76" s="3" t="s">
        <v>139</v>
      </c>
      <c r="AY76" s="13"/>
      <c r="AZ76" s="3">
        <v>6000</v>
      </c>
      <c r="BA76" s="3">
        <f t="shared" si="164"/>
        <v>0</v>
      </c>
      <c r="BB76" s="3" t="s">
        <v>139</v>
      </c>
      <c r="BC76" s="34"/>
      <c r="BD76" s="3">
        <v>6000</v>
      </c>
      <c r="BE76" s="3">
        <f t="shared" si="165"/>
        <v>0</v>
      </c>
      <c r="BF76" s="3" t="s">
        <v>125</v>
      </c>
      <c r="BG76" s="3"/>
      <c r="BH76" s="3">
        <v>6000</v>
      </c>
      <c r="BI76" s="3">
        <f t="shared" si="215"/>
        <v>0</v>
      </c>
      <c r="BJ76" s="13" t="s">
        <v>20</v>
      </c>
      <c r="BK76" s="14"/>
      <c r="BL76" s="3">
        <v>1000</v>
      </c>
      <c r="BM76" s="3">
        <f t="shared" si="258"/>
        <v>0</v>
      </c>
      <c r="BN76" s="13" t="s">
        <v>20</v>
      </c>
      <c r="BO76" s="13"/>
      <c r="BP76" s="2">
        <v>3000</v>
      </c>
      <c r="BQ76" s="13"/>
      <c r="BR76" s="2" t="s">
        <v>126</v>
      </c>
      <c r="BS76" s="13"/>
      <c r="BT76" s="2">
        <f>6000</f>
        <v>6000</v>
      </c>
      <c r="BU76" s="3">
        <f t="shared" si="256"/>
        <v>0</v>
      </c>
      <c r="BV76" s="13"/>
      <c r="BW76" s="13"/>
      <c r="BX76" s="13"/>
      <c r="BY76" s="3">
        <f t="shared" si="136"/>
        <v>0</v>
      </c>
      <c r="BZ76" s="13"/>
      <c r="CA76" s="2" t="s">
        <v>139</v>
      </c>
      <c r="CB76" s="3">
        <v>5</v>
      </c>
      <c r="CC76" s="3">
        <v>8000</v>
      </c>
      <c r="CD76" s="3">
        <f t="shared" si="200"/>
        <v>40000</v>
      </c>
      <c r="CE76" s="2" t="s">
        <v>139</v>
      </c>
      <c r="CF76" s="2">
        <v>30</v>
      </c>
      <c r="CG76" s="2">
        <v>6000</v>
      </c>
      <c r="CH76" s="3">
        <f t="shared" si="201"/>
        <v>180000</v>
      </c>
      <c r="CI76" s="3" t="s">
        <v>139</v>
      </c>
      <c r="CJ76" s="3">
        <v>1</v>
      </c>
      <c r="CK76" s="13"/>
      <c r="CL76" s="3">
        <f t="shared" si="166"/>
        <v>0</v>
      </c>
      <c r="CM76" s="5">
        <f t="shared" si="167"/>
        <v>220000</v>
      </c>
      <c r="CN76" s="3" t="s">
        <v>125</v>
      </c>
      <c r="CO76" s="3">
        <v>0</v>
      </c>
      <c r="CP76" s="3">
        <v>6000</v>
      </c>
      <c r="CQ76" s="3">
        <f t="shared" si="154"/>
        <v>0</v>
      </c>
      <c r="CR76" s="3" t="s">
        <v>125</v>
      </c>
      <c r="CS76" s="3">
        <v>75</v>
      </c>
      <c r="CT76" s="3">
        <v>6000</v>
      </c>
      <c r="CU76" s="3">
        <f t="shared" si="155"/>
        <v>450000</v>
      </c>
      <c r="CV76" s="3" t="s">
        <v>125</v>
      </c>
      <c r="CW76" s="3">
        <v>30</v>
      </c>
      <c r="CX76" s="3">
        <v>6000</v>
      </c>
      <c r="CY76" s="3">
        <f t="shared" si="219"/>
        <v>180000</v>
      </c>
      <c r="CZ76" s="3" t="s">
        <v>125</v>
      </c>
      <c r="DA76" s="3">
        <v>15</v>
      </c>
      <c r="DB76" s="3">
        <v>6000</v>
      </c>
      <c r="DC76" s="3">
        <f t="shared" si="220"/>
        <v>90000</v>
      </c>
      <c r="DD76" s="3" t="s">
        <v>125</v>
      </c>
      <c r="DE76" s="3">
        <v>5</v>
      </c>
      <c r="DF76" s="3">
        <v>6000</v>
      </c>
      <c r="DG76" s="3">
        <f t="shared" ref="DG76" si="259">DE76*DF76</f>
        <v>30000</v>
      </c>
      <c r="DH76" s="3" t="s">
        <v>125</v>
      </c>
      <c r="DI76" s="3">
        <v>100</v>
      </c>
      <c r="DJ76" s="3">
        <v>6000</v>
      </c>
      <c r="DK76" s="3">
        <f t="shared" si="158"/>
        <v>600000</v>
      </c>
      <c r="DL76" s="3" t="s">
        <v>125</v>
      </c>
      <c r="DM76" s="3"/>
      <c r="DN76" s="3">
        <v>6000</v>
      </c>
      <c r="DO76" s="3">
        <f t="shared" si="159"/>
        <v>0</v>
      </c>
      <c r="DP76" s="3" t="s">
        <v>125</v>
      </c>
      <c r="DQ76" s="3"/>
      <c r="DR76" s="3">
        <v>6000</v>
      </c>
      <c r="DS76" s="3">
        <f t="shared" si="213"/>
        <v>0</v>
      </c>
      <c r="DT76" s="6">
        <f t="shared" si="214"/>
        <v>1350000</v>
      </c>
      <c r="DU76" s="2" t="s">
        <v>157</v>
      </c>
      <c r="DV76" s="3">
        <f t="shared" si="189"/>
        <v>30000</v>
      </c>
      <c r="DW76" s="3">
        <f t="shared" si="190"/>
        <v>300</v>
      </c>
      <c r="DX76" s="3">
        <f t="shared" si="168"/>
        <v>9000000</v>
      </c>
      <c r="DY76" s="3" t="s">
        <v>127</v>
      </c>
      <c r="DZ76" s="3">
        <f t="shared" si="191"/>
        <v>10</v>
      </c>
      <c r="EA76" s="2">
        <v>50000</v>
      </c>
      <c r="EB76" s="3">
        <f t="shared" si="169"/>
        <v>500000</v>
      </c>
      <c r="EC76" s="2" t="s">
        <v>127</v>
      </c>
      <c r="ED76" s="3">
        <f t="shared" si="192"/>
        <v>0</v>
      </c>
      <c r="EE76" s="3">
        <v>80000</v>
      </c>
      <c r="EF76" s="3">
        <f t="shared" si="170"/>
        <v>0</v>
      </c>
      <c r="EG76" s="2" t="s">
        <v>157</v>
      </c>
      <c r="EH76" s="3">
        <f t="shared" si="193"/>
        <v>250</v>
      </c>
      <c r="EI76" s="3">
        <v>6000</v>
      </c>
      <c r="EJ76" s="7">
        <f t="shared" si="124"/>
        <v>1500000</v>
      </c>
      <c r="EK76" s="2" t="s">
        <v>157</v>
      </c>
      <c r="EL76" s="13">
        <f t="shared" si="149"/>
        <v>0</v>
      </c>
      <c r="EM76" s="3">
        <v>3000</v>
      </c>
      <c r="EN76" s="3">
        <f t="shared" si="171"/>
        <v>0</v>
      </c>
      <c r="EO76" s="3" t="s">
        <v>126</v>
      </c>
      <c r="EP76" s="3">
        <f t="shared" si="194"/>
        <v>0</v>
      </c>
      <c r="EQ76" s="3">
        <v>1000</v>
      </c>
      <c r="ER76" s="7">
        <f t="shared" si="195"/>
        <v>0</v>
      </c>
      <c r="ES76" s="3" t="s">
        <v>124</v>
      </c>
      <c r="ET76" s="2">
        <v>1</v>
      </c>
      <c r="EU76" s="3">
        <v>60000</v>
      </c>
      <c r="EV76" s="3">
        <f t="shared" si="172"/>
        <v>60000</v>
      </c>
      <c r="EW76" s="3" t="s">
        <v>124</v>
      </c>
      <c r="EX76" s="13"/>
      <c r="EY76" s="3">
        <v>60000</v>
      </c>
      <c r="EZ76" s="3">
        <f t="shared" si="173"/>
        <v>0</v>
      </c>
      <c r="FA76" s="3" t="s">
        <v>170</v>
      </c>
      <c r="FB76" s="14"/>
      <c r="FC76" s="3">
        <v>1000</v>
      </c>
      <c r="FD76" s="3">
        <f t="shared" si="174"/>
        <v>0</v>
      </c>
      <c r="FE76" s="3" t="s">
        <v>126</v>
      </c>
      <c r="FF76" s="3">
        <f t="shared" si="196"/>
        <v>0</v>
      </c>
      <c r="FG76" s="3">
        <v>6000</v>
      </c>
      <c r="FH76" s="3">
        <f t="shared" si="175"/>
        <v>0</v>
      </c>
      <c r="FI76" s="1">
        <f t="shared" si="176"/>
        <v>11060000</v>
      </c>
      <c r="FJ76" s="3" t="s">
        <v>139</v>
      </c>
      <c r="FK76" s="2">
        <v>40</v>
      </c>
      <c r="FL76" s="2">
        <v>6000</v>
      </c>
      <c r="FM76" s="3">
        <f t="shared" si="177"/>
        <v>240000</v>
      </c>
      <c r="FN76" s="3" t="s">
        <v>139</v>
      </c>
      <c r="FO76" s="2"/>
      <c r="FP76" s="3">
        <v>6000</v>
      </c>
      <c r="FQ76" s="3">
        <f t="shared" si="197"/>
        <v>0</v>
      </c>
      <c r="FR76" s="3" t="s">
        <v>139</v>
      </c>
      <c r="FS76" s="13"/>
      <c r="FT76" s="15">
        <v>6000</v>
      </c>
      <c r="FU76" s="3">
        <f t="shared" si="178"/>
        <v>0</v>
      </c>
      <c r="FV76" s="3" t="s">
        <v>139</v>
      </c>
      <c r="FW76" s="14"/>
      <c r="FX76" s="3">
        <v>8000</v>
      </c>
      <c r="FY76" s="3">
        <f t="shared" si="179"/>
        <v>0</v>
      </c>
      <c r="FZ76" s="3" t="s">
        <v>139</v>
      </c>
      <c r="GA76" s="3">
        <v>2</v>
      </c>
      <c r="GB76" s="3">
        <v>8000</v>
      </c>
      <c r="GC76" s="3">
        <f t="shared" si="180"/>
        <v>16000</v>
      </c>
      <c r="GD76" s="3" t="s">
        <v>139</v>
      </c>
      <c r="GE76" s="3">
        <v>10</v>
      </c>
      <c r="GF76" s="3">
        <v>10000</v>
      </c>
      <c r="GG76" s="3">
        <f t="shared" si="181"/>
        <v>100000</v>
      </c>
      <c r="GH76" s="3" t="s">
        <v>139</v>
      </c>
      <c r="GI76" s="13"/>
      <c r="GJ76" s="13"/>
      <c r="GK76" s="3">
        <f t="shared" si="182"/>
        <v>0</v>
      </c>
      <c r="GL76" s="92">
        <f t="shared" si="183"/>
        <v>356000</v>
      </c>
      <c r="GM76" s="8">
        <f t="shared" si="184"/>
        <v>12986000</v>
      </c>
      <c r="GN76" s="8">
        <f t="shared" si="185"/>
        <v>8000</v>
      </c>
      <c r="GO76" s="101">
        <v>6000</v>
      </c>
      <c r="GP76" s="8">
        <f t="shared" si="198"/>
        <v>48000000</v>
      </c>
      <c r="GQ76" s="8">
        <f t="shared" si="186"/>
        <v>90000000</v>
      </c>
      <c r="GR76" s="8">
        <f t="shared" si="187"/>
        <v>35014000</v>
      </c>
      <c r="GS76" s="8">
        <f t="shared" si="188"/>
        <v>77014000</v>
      </c>
      <c r="GT76" s="15" t="s">
        <v>1816</v>
      </c>
      <c r="GU76" s="47" t="s">
        <v>1290</v>
      </c>
    </row>
    <row r="77" spans="1:203" s="38" customFormat="1" ht="158.25" customHeight="1">
      <c r="A77" s="44">
        <v>78</v>
      </c>
      <c r="B77" s="23" t="s">
        <v>824</v>
      </c>
      <c r="C77" s="15" t="s">
        <v>1501</v>
      </c>
      <c r="D77" s="13" t="s">
        <v>825</v>
      </c>
      <c r="E77" s="13" t="s">
        <v>826</v>
      </c>
      <c r="F77" s="15" t="s">
        <v>1503</v>
      </c>
      <c r="G77" s="15" t="s">
        <v>1521</v>
      </c>
      <c r="H77" s="13" t="s">
        <v>827</v>
      </c>
      <c r="I77" s="15" t="s">
        <v>1522</v>
      </c>
      <c r="J77" s="15" t="s">
        <v>1507</v>
      </c>
      <c r="K77" s="15" t="s">
        <v>1508</v>
      </c>
      <c r="L77" s="15" t="s">
        <v>1509</v>
      </c>
      <c r="M77" s="15" t="s">
        <v>1523</v>
      </c>
      <c r="N77" s="15" t="s">
        <v>1511</v>
      </c>
      <c r="O77" s="15" t="s">
        <v>1512</v>
      </c>
      <c r="P77" s="15" t="s">
        <v>1513</v>
      </c>
      <c r="Q77" s="15" t="s">
        <v>997</v>
      </c>
      <c r="R77" s="13">
        <v>3</v>
      </c>
      <c r="S77" s="15">
        <v>7</v>
      </c>
      <c r="T77" s="15">
        <v>7000</v>
      </c>
      <c r="U77" s="15">
        <v>1000</v>
      </c>
      <c r="V77" s="15">
        <v>10950</v>
      </c>
      <c r="W77" s="15" t="s">
        <v>1514</v>
      </c>
      <c r="X77" s="15">
        <v>0.7</v>
      </c>
      <c r="Y77" s="15">
        <v>1.2</v>
      </c>
      <c r="Z77" s="15" t="s">
        <v>1515</v>
      </c>
      <c r="AA77" s="15" t="s">
        <v>1516</v>
      </c>
      <c r="AB77" s="15" t="s">
        <v>1517</v>
      </c>
      <c r="AC77" s="3">
        <v>50000</v>
      </c>
      <c r="AD77" s="13">
        <v>7</v>
      </c>
      <c r="AE77" s="13"/>
      <c r="AF77" s="3">
        <v>80000</v>
      </c>
      <c r="AG77" s="3">
        <f t="shared" si="211"/>
        <v>350000</v>
      </c>
      <c r="AH77" s="13" t="s">
        <v>2024</v>
      </c>
      <c r="AI77" s="13">
        <v>300</v>
      </c>
      <c r="AJ77" s="15">
        <v>1000</v>
      </c>
      <c r="AK77" s="13">
        <v>100</v>
      </c>
      <c r="AL77" s="15">
        <v>6000</v>
      </c>
      <c r="AM77" s="15">
        <v>50</v>
      </c>
      <c r="AN77" s="15">
        <v>3000</v>
      </c>
      <c r="AO77" s="42"/>
      <c r="AP77" s="15">
        <v>6000</v>
      </c>
      <c r="AQ77" s="2">
        <f t="shared" si="199"/>
        <v>1050000</v>
      </c>
      <c r="AR77" s="15" t="s">
        <v>1524</v>
      </c>
      <c r="AS77" s="15" t="s">
        <v>1518</v>
      </c>
      <c r="AT77" s="2" t="s">
        <v>139</v>
      </c>
      <c r="AU77" s="13">
        <v>7.5</v>
      </c>
      <c r="AV77" s="3">
        <v>6000</v>
      </c>
      <c r="AW77" s="2">
        <f t="shared" si="134"/>
        <v>45000</v>
      </c>
      <c r="AX77" s="2" t="s">
        <v>139</v>
      </c>
      <c r="AY77" s="13">
        <v>5</v>
      </c>
      <c r="AZ77" s="3">
        <v>6000</v>
      </c>
      <c r="BA77" s="2">
        <f t="shared" si="164"/>
        <v>30000</v>
      </c>
      <c r="BB77" s="2" t="s">
        <v>139</v>
      </c>
      <c r="BC77" s="13">
        <v>2</v>
      </c>
      <c r="BD77" s="3">
        <v>6000</v>
      </c>
      <c r="BE77" s="3">
        <f t="shared" si="165"/>
        <v>12000</v>
      </c>
      <c r="BF77" s="3" t="s">
        <v>125</v>
      </c>
      <c r="BG77" s="2">
        <v>2</v>
      </c>
      <c r="BH77" s="3">
        <v>6000</v>
      </c>
      <c r="BI77" s="3">
        <f t="shared" si="215"/>
        <v>12000</v>
      </c>
      <c r="BJ77" s="3" t="s">
        <v>126</v>
      </c>
      <c r="BK77" s="13"/>
      <c r="BL77" s="3">
        <v>1000</v>
      </c>
      <c r="BM77" s="3">
        <f t="shared" si="258"/>
        <v>0</v>
      </c>
      <c r="BN77" s="13" t="s">
        <v>20</v>
      </c>
      <c r="BO77" s="13"/>
      <c r="BP77" s="2">
        <v>3000</v>
      </c>
      <c r="BQ77" s="3">
        <f>BO77*BP77</f>
        <v>0</v>
      </c>
      <c r="BR77" s="2" t="s">
        <v>126</v>
      </c>
      <c r="BS77" s="13"/>
      <c r="BT77" s="2">
        <f>6000</f>
        <v>6000</v>
      </c>
      <c r="BU77" s="3">
        <f t="shared" si="256"/>
        <v>0</v>
      </c>
      <c r="BV77" s="2" t="s">
        <v>126</v>
      </c>
      <c r="BW77" s="13">
        <v>9</v>
      </c>
      <c r="BX77" s="2">
        <v>6000</v>
      </c>
      <c r="BY77" s="3">
        <f t="shared" si="136"/>
        <v>54000</v>
      </c>
      <c r="BZ77" s="92">
        <f t="shared" ref="BZ77:BZ80" si="260">AW77+BE77+BM77+BQ77+BU77+BI77+BY77</f>
        <v>123000</v>
      </c>
      <c r="CA77" s="2" t="s">
        <v>139</v>
      </c>
      <c r="CB77" s="3">
        <v>5</v>
      </c>
      <c r="CC77" s="3">
        <v>8000</v>
      </c>
      <c r="CD77" s="3">
        <f t="shared" si="200"/>
        <v>40000</v>
      </c>
      <c r="CE77" s="2" t="s">
        <v>139</v>
      </c>
      <c r="CF77" s="2">
        <v>30</v>
      </c>
      <c r="CG77" s="2">
        <v>6000</v>
      </c>
      <c r="CH77" s="3">
        <f t="shared" si="201"/>
        <v>180000</v>
      </c>
      <c r="CI77" s="3" t="s">
        <v>139</v>
      </c>
      <c r="CJ77" s="3">
        <v>1</v>
      </c>
      <c r="CK77" s="14"/>
      <c r="CL77" s="3">
        <f t="shared" ref="CL77:CL81" si="261">CJ77*CK77</f>
        <v>0</v>
      </c>
      <c r="CM77" s="5">
        <f t="shared" ref="CM77:CM81" si="262">CD77+CH77+CL77</f>
        <v>220000</v>
      </c>
      <c r="CN77" s="3" t="s">
        <v>125</v>
      </c>
      <c r="CO77" s="3">
        <v>0</v>
      </c>
      <c r="CP77" s="3">
        <v>6000</v>
      </c>
      <c r="CQ77" s="3">
        <f t="shared" si="154"/>
        <v>0</v>
      </c>
      <c r="CR77" s="3" t="s">
        <v>125</v>
      </c>
      <c r="CS77" s="3">
        <v>50</v>
      </c>
      <c r="CT77" s="3">
        <v>6000</v>
      </c>
      <c r="CU77" s="3">
        <f t="shared" si="155"/>
        <v>300000</v>
      </c>
      <c r="CV77" s="3" t="s">
        <v>125</v>
      </c>
      <c r="CW77" s="3">
        <v>30</v>
      </c>
      <c r="CX77" s="3">
        <v>6000</v>
      </c>
      <c r="CY77" s="3">
        <f t="shared" si="219"/>
        <v>180000</v>
      </c>
      <c r="CZ77" s="3" t="s">
        <v>125</v>
      </c>
      <c r="DA77" s="3">
        <v>10</v>
      </c>
      <c r="DB77" s="3">
        <v>6000</v>
      </c>
      <c r="DC77" s="3">
        <f t="shared" si="220"/>
        <v>60000</v>
      </c>
      <c r="DD77" s="3" t="s">
        <v>125</v>
      </c>
      <c r="DE77" s="3">
        <v>5</v>
      </c>
      <c r="DF77" s="3">
        <v>6000</v>
      </c>
      <c r="DG77" s="3">
        <f t="shared" si="121"/>
        <v>30000</v>
      </c>
      <c r="DH77" s="3" t="s">
        <v>125</v>
      </c>
      <c r="DI77" s="3">
        <v>50</v>
      </c>
      <c r="DJ77" s="3">
        <v>6000</v>
      </c>
      <c r="DK77" s="3">
        <f t="shared" si="158"/>
        <v>300000</v>
      </c>
      <c r="DL77" s="3" t="s">
        <v>125</v>
      </c>
      <c r="DM77" s="3"/>
      <c r="DN77" s="3">
        <v>6000</v>
      </c>
      <c r="DO77" s="3">
        <f t="shared" si="159"/>
        <v>0</v>
      </c>
      <c r="DP77" s="3" t="s">
        <v>125</v>
      </c>
      <c r="DQ77" s="3"/>
      <c r="DR77" s="3">
        <v>6000</v>
      </c>
      <c r="DS77" s="3">
        <f t="shared" si="213"/>
        <v>0</v>
      </c>
      <c r="DT77" s="6">
        <f t="shared" si="214"/>
        <v>870000</v>
      </c>
      <c r="DU77" s="2" t="s">
        <v>157</v>
      </c>
      <c r="DV77" s="3">
        <f t="shared" ref="DV77:DV81" si="263">R77</f>
        <v>3</v>
      </c>
      <c r="DW77" s="3">
        <f t="shared" ref="DW77:DW81" si="264">T77</f>
        <v>7000</v>
      </c>
      <c r="DX77" s="3">
        <f t="shared" ref="DX77:DX81" si="265">DV77*DW77</f>
        <v>21000</v>
      </c>
      <c r="DY77" s="3" t="s">
        <v>127</v>
      </c>
      <c r="DZ77" s="3">
        <f t="shared" ref="DZ77:DZ81" si="266">AD77</f>
        <v>7</v>
      </c>
      <c r="EA77" s="2">
        <v>50000</v>
      </c>
      <c r="EB77" s="3">
        <f t="shared" ref="EB77:EB81" si="267">DZ77*EA77</f>
        <v>350000</v>
      </c>
      <c r="EC77" s="2" t="s">
        <v>127</v>
      </c>
      <c r="ED77" s="3">
        <f t="shared" ref="ED77:ED81" si="268">AE77</f>
        <v>0</v>
      </c>
      <c r="EE77" s="3">
        <v>80000</v>
      </c>
      <c r="EF77" s="3">
        <f t="shared" ref="EF77:EF81" si="269">ED77*EE77</f>
        <v>0</v>
      </c>
      <c r="EG77" s="2" t="s">
        <v>157</v>
      </c>
      <c r="EH77" s="3">
        <f t="shared" ref="EH77:EH81" si="270">AK77</f>
        <v>100</v>
      </c>
      <c r="EI77" s="3">
        <v>6000</v>
      </c>
      <c r="EJ77" s="7">
        <f t="shared" si="124"/>
        <v>600000</v>
      </c>
      <c r="EK77" s="2" t="s">
        <v>157</v>
      </c>
      <c r="EL77" s="13">
        <f t="shared" ref="EL77:EL81" si="271">AM77</f>
        <v>50</v>
      </c>
      <c r="EM77" s="3">
        <v>3000</v>
      </c>
      <c r="EN77" s="3">
        <f t="shared" ref="EN77:EN81" si="272">EL77*EM77</f>
        <v>150000</v>
      </c>
      <c r="EO77" s="3" t="s">
        <v>126</v>
      </c>
      <c r="EP77" s="3">
        <f t="shared" ref="EP77:EP81" si="273">AI77</f>
        <v>300</v>
      </c>
      <c r="EQ77" s="3">
        <v>1000</v>
      </c>
      <c r="ER77" s="7">
        <f t="shared" ref="ER77:ER81" si="274">EP77*EQ77</f>
        <v>300000</v>
      </c>
      <c r="ES77" s="3" t="s">
        <v>124</v>
      </c>
      <c r="ET77" s="2">
        <v>1</v>
      </c>
      <c r="EU77" s="3">
        <v>60000</v>
      </c>
      <c r="EV77" s="3">
        <f t="shared" ref="EV77:EV81" si="275">ET77*EU77</f>
        <v>60000</v>
      </c>
      <c r="EW77" s="3" t="s">
        <v>124</v>
      </c>
      <c r="EX77" s="14"/>
      <c r="EY77" s="3">
        <v>60000</v>
      </c>
      <c r="EZ77" s="3">
        <f t="shared" ref="EZ77:EZ81" si="276">EX77*EY77</f>
        <v>0</v>
      </c>
      <c r="FA77" s="3" t="s">
        <v>170</v>
      </c>
      <c r="FB77" s="14"/>
      <c r="FC77" s="3">
        <v>1000</v>
      </c>
      <c r="FD77" s="3">
        <f t="shared" ref="FD77:FD81" si="277">FB77*FC77</f>
        <v>0</v>
      </c>
      <c r="FE77" s="3" t="s">
        <v>126</v>
      </c>
      <c r="FF77" s="3">
        <f t="shared" ref="FF77:FF81" si="278">AO77</f>
        <v>0</v>
      </c>
      <c r="FG77" s="3">
        <v>6000</v>
      </c>
      <c r="FH77" s="3">
        <f t="shared" ref="FH77:FH81" si="279">FF77*FG77</f>
        <v>0</v>
      </c>
      <c r="FI77" s="1">
        <f t="shared" ref="FI77:FI81" si="280">DX77+EB77+EF77+EJ77+EN77+ER77+EZ77+EV77+FD77+FH77</f>
        <v>1481000</v>
      </c>
      <c r="FJ77" s="3" t="s">
        <v>139</v>
      </c>
      <c r="FK77" s="2">
        <v>40</v>
      </c>
      <c r="FL77" s="2">
        <v>6000</v>
      </c>
      <c r="FM77" s="3">
        <f t="shared" ref="FM77:FM81" si="281">FK77*FL77</f>
        <v>240000</v>
      </c>
      <c r="FN77" s="3" t="s">
        <v>139</v>
      </c>
      <c r="FO77" s="2"/>
      <c r="FP77" s="3">
        <v>6000</v>
      </c>
      <c r="FQ77" s="3">
        <f t="shared" ref="FQ77:FQ81" si="282">FO77*FP77</f>
        <v>0</v>
      </c>
      <c r="FR77" s="3" t="s">
        <v>139</v>
      </c>
      <c r="FS77" s="13"/>
      <c r="FT77" s="15">
        <v>6000</v>
      </c>
      <c r="FU77" s="3">
        <f t="shared" ref="FU77:FU81" si="283">FS77*FT77</f>
        <v>0</v>
      </c>
      <c r="FV77" s="3" t="s">
        <v>139</v>
      </c>
      <c r="FW77" s="14"/>
      <c r="FX77" s="3">
        <v>8000</v>
      </c>
      <c r="FY77" s="3">
        <f t="shared" ref="FY77:FY81" si="284">FW77*FX77</f>
        <v>0</v>
      </c>
      <c r="FZ77" s="3" t="s">
        <v>139</v>
      </c>
      <c r="GA77" s="3">
        <v>2</v>
      </c>
      <c r="GB77" s="3">
        <v>8000</v>
      </c>
      <c r="GC77" s="3">
        <f t="shared" ref="GC77:GC81" si="285">GA77*GB77</f>
        <v>16000</v>
      </c>
      <c r="GD77" s="3" t="s">
        <v>139</v>
      </c>
      <c r="GE77" s="3">
        <v>10</v>
      </c>
      <c r="GF77" s="3">
        <v>10000</v>
      </c>
      <c r="GG77" s="3">
        <f t="shared" ref="GG77:GG81" si="286">GE77*GF77</f>
        <v>100000</v>
      </c>
      <c r="GH77" s="3" t="s">
        <v>139</v>
      </c>
      <c r="GI77" s="14"/>
      <c r="GJ77" s="14"/>
      <c r="GK77" s="3">
        <f t="shared" ref="GK77:GK81" si="287">GI77*GJ77</f>
        <v>0</v>
      </c>
      <c r="GL77" s="92">
        <f t="shared" ref="GL77:GL81" si="288">FM77+FQ77+FU77+FY77+GC77+GG77+GK77</f>
        <v>356000</v>
      </c>
      <c r="GM77" s="8">
        <f t="shared" ref="GM77:GM81" si="289">BZ77+CM77+DT77+FI77+GL77</f>
        <v>3050000</v>
      </c>
      <c r="GN77" s="8">
        <f t="shared" ref="GN77:GN87" si="290">X77*1000</f>
        <v>700</v>
      </c>
      <c r="GO77" s="102">
        <v>9500</v>
      </c>
      <c r="GP77" s="8">
        <f t="shared" ref="GP77:GP81" si="291">GN77*GO77</f>
        <v>6650000</v>
      </c>
      <c r="GQ77" s="8">
        <f t="shared" ref="GQ77:GQ81" si="292">(GO77*Y77*1000)</f>
        <v>11400000</v>
      </c>
      <c r="GR77" s="8">
        <f t="shared" ref="GR77:GR81" si="293">GP77-GM77</f>
        <v>3600000</v>
      </c>
      <c r="GS77" s="8">
        <f t="shared" ref="GS77:GS81" si="294">GQ77-GM77</f>
        <v>8350000</v>
      </c>
      <c r="GT77" s="15" t="s">
        <v>1818</v>
      </c>
      <c r="GU77" s="47" t="s">
        <v>1817</v>
      </c>
    </row>
    <row r="78" spans="1:203" s="38" customFormat="1" ht="158.25" customHeight="1">
      <c r="A78" s="44">
        <v>79</v>
      </c>
      <c r="B78" s="23" t="s">
        <v>824</v>
      </c>
      <c r="C78" s="15" t="s">
        <v>1501</v>
      </c>
      <c r="D78" s="15" t="s">
        <v>1502</v>
      </c>
      <c r="E78" s="13" t="s">
        <v>826</v>
      </c>
      <c r="F78" s="15" t="s">
        <v>1504</v>
      </c>
      <c r="G78" s="15" t="s">
        <v>1505</v>
      </c>
      <c r="H78" s="13" t="s">
        <v>827</v>
      </c>
      <c r="I78" s="15" t="s">
        <v>1506</v>
      </c>
      <c r="J78" s="15" t="s">
        <v>1507</v>
      </c>
      <c r="K78" s="15" t="s">
        <v>1508</v>
      </c>
      <c r="L78" s="15" t="s">
        <v>1509</v>
      </c>
      <c r="M78" s="15" t="s">
        <v>1510</v>
      </c>
      <c r="N78" s="15" t="s">
        <v>1511</v>
      </c>
      <c r="O78" s="15" t="s">
        <v>1512</v>
      </c>
      <c r="P78" s="15" t="s">
        <v>1513</v>
      </c>
      <c r="Q78" s="15" t="s">
        <v>997</v>
      </c>
      <c r="R78" s="13">
        <v>3</v>
      </c>
      <c r="S78" s="15">
        <v>7</v>
      </c>
      <c r="T78" s="15">
        <v>7000</v>
      </c>
      <c r="U78" s="15">
        <v>1000</v>
      </c>
      <c r="V78" s="15">
        <v>10950</v>
      </c>
      <c r="W78" s="15" t="s">
        <v>1514</v>
      </c>
      <c r="X78" s="15">
        <v>0.5</v>
      </c>
      <c r="Y78" s="15">
        <v>1.5</v>
      </c>
      <c r="Z78" s="15" t="s">
        <v>1515</v>
      </c>
      <c r="AA78" s="15" t="s">
        <v>1516</v>
      </c>
      <c r="AB78" s="15" t="s">
        <v>1517</v>
      </c>
      <c r="AC78" s="3">
        <v>50000</v>
      </c>
      <c r="AD78" s="13">
        <v>7</v>
      </c>
      <c r="AE78" s="13"/>
      <c r="AF78" s="3">
        <v>80000</v>
      </c>
      <c r="AG78" s="3">
        <f t="shared" si="211"/>
        <v>350000</v>
      </c>
      <c r="AH78" s="13" t="s">
        <v>2025</v>
      </c>
      <c r="AI78" s="13">
        <v>300</v>
      </c>
      <c r="AJ78" s="15">
        <v>1000</v>
      </c>
      <c r="AK78" s="13">
        <v>100</v>
      </c>
      <c r="AL78" s="15">
        <v>6000</v>
      </c>
      <c r="AM78" s="15">
        <v>50</v>
      </c>
      <c r="AN78" s="15">
        <v>3000</v>
      </c>
      <c r="AO78" s="42"/>
      <c r="AP78" s="15">
        <v>6000</v>
      </c>
      <c r="AQ78" s="2">
        <f t="shared" si="199"/>
        <v>1050000</v>
      </c>
      <c r="AR78" s="15" t="s">
        <v>1519</v>
      </c>
      <c r="AS78" s="15" t="s">
        <v>1518</v>
      </c>
      <c r="AT78" s="2" t="s">
        <v>139</v>
      </c>
      <c r="AU78" s="13">
        <v>7.5</v>
      </c>
      <c r="AV78" s="3">
        <v>6000</v>
      </c>
      <c r="AW78" s="2">
        <f t="shared" si="134"/>
        <v>45000</v>
      </c>
      <c r="AX78" s="2" t="s">
        <v>139</v>
      </c>
      <c r="AY78" s="13">
        <v>5</v>
      </c>
      <c r="AZ78" s="3">
        <v>6000</v>
      </c>
      <c r="BA78" s="2">
        <f t="shared" si="164"/>
        <v>30000</v>
      </c>
      <c r="BB78" s="2" t="s">
        <v>139</v>
      </c>
      <c r="BC78" s="13">
        <v>2</v>
      </c>
      <c r="BD78" s="3">
        <v>6000</v>
      </c>
      <c r="BE78" s="3">
        <f t="shared" si="165"/>
        <v>12000</v>
      </c>
      <c r="BF78" s="3" t="s">
        <v>125</v>
      </c>
      <c r="BG78" s="2">
        <v>2</v>
      </c>
      <c r="BH78" s="3">
        <v>6000</v>
      </c>
      <c r="BI78" s="3">
        <f t="shared" si="215"/>
        <v>12000</v>
      </c>
      <c r="BJ78" s="3" t="s">
        <v>126</v>
      </c>
      <c r="BK78" s="13"/>
      <c r="BL78" s="3">
        <v>1000</v>
      </c>
      <c r="BM78" s="3">
        <f t="shared" si="258"/>
        <v>0</v>
      </c>
      <c r="BN78" s="13" t="s">
        <v>20</v>
      </c>
      <c r="BO78" s="13"/>
      <c r="BP78" s="2">
        <v>3000</v>
      </c>
      <c r="BQ78" s="3">
        <f>BO78*BP78</f>
        <v>0</v>
      </c>
      <c r="BR78" s="2" t="s">
        <v>126</v>
      </c>
      <c r="BS78" s="13"/>
      <c r="BT78" s="2">
        <f>6000</f>
        <v>6000</v>
      </c>
      <c r="BU78" s="3">
        <f t="shared" si="256"/>
        <v>0</v>
      </c>
      <c r="BV78" s="2" t="s">
        <v>126</v>
      </c>
      <c r="BW78" s="13">
        <v>9</v>
      </c>
      <c r="BX78" s="2">
        <v>6000</v>
      </c>
      <c r="BY78" s="3">
        <f t="shared" si="136"/>
        <v>54000</v>
      </c>
      <c r="BZ78" s="92">
        <f t="shared" si="260"/>
        <v>123000</v>
      </c>
      <c r="CA78" s="2"/>
      <c r="CB78" s="3">
        <v>5</v>
      </c>
      <c r="CC78" s="3">
        <v>8000</v>
      </c>
      <c r="CD78" s="3">
        <f t="shared" si="200"/>
        <v>40000</v>
      </c>
      <c r="CE78" s="2"/>
      <c r="CF78" s="2">
        <v>30</v>
      </c>
      <c r="CG78" s="2"/>
      <c r="CH78" s="3">
        <f t="shared" si="201"/>
        <v>0</v>
      </c>
      <c r="CI78" s="3" t="s">
        <v>139</v>
      </c>
      <c r="CJ78" s="3">
        <v>1</v>
      </c>
      <c r="CK78" s="14"/>
      <c r="CL78" s="3">
        <f t="shared" si="261"/>
        <v>0</v>
      </c>
      <c r="CM78" s="5">
        <f t="shared" si="262"/>
        <v>40000</v>
      </c>
      <c r="CN78" s="3" t="s">
        <v>125</v>
      </c>
      <c r="CO78" s="3">
        <v>0</v>
      </c>
      <c r="CP78" s="3">
        <v>6000</v>
      </c>
      <c r="CQ78" s="3">
        <f t="shared" si="154"/>
        <v>0</v>
      </c>
      <c r="CR78" s="3" t="s">
        <v>125</v>
      </c>
      <c r="CS78" s="3">
        <v>50</v>
      </c>
      <c r="CT78" s="3">
        <v>6000</v>
      </c>
      <c r="CU78" s="3">
        <f t="shared" si="155"/>
        <v>300000</v>
      </c>
      <c r="CV78" s="3" t="s">
        <v>125</v>
      </c>
      <c r="CW78" s="3">
        <v>30</v>
      </c>
      <c r="CX78" s="3">
        <v>6000</v>
      </c>
      <c r="CY78" s="3">
        <f t="shared" si="219"/>
        <v>180000</v>
      </c>
      <c r="CZ78" s="3" t="s">
        <v>125</v>
      </c>
      <c r="DA78" s="3">
        <v>10</v>
      </c>
      <c r="DB78" s="3">
        <v>6000</v>
      </c>
      <c r="DC78" s="3">
        <f t="shared" si="220"/>
        <v>60000</v>
      </c>
      <c r="DD78" s="3" t="s">
        <v>125</v>
      </c>
      <c r="DE78" s="3">
        <v>5</v>
      </c>
      <c r="DF78" s="3">
        <v>6000</v>
      </c>
      <c r="DG78" s="3">
        <f t="shared" si="121"/>
        <v>30000</v>
      </c>
      <c r="DH78" s="3" t="s">
        <v>125</v>
      </c>
      <c r="DI78" s="3">
        <v>50</v>
      </c>
      <c r="DJ78" s="3">
        <v>6000</v>
      </c>
      <c r="DK78" s="3">
        <f t="shared" si="158"/>
        <v>300000</v>
      </c>
      <c r="DL78" s="3" t="s">
        <v>125</v>
      </c>
      <c r="DM78" s="3"/>
      <c r="DN78" s="3">
        <v>6000</v>
      </c>
      <c r="DO78" s="3">
        <f t="shared" si="159"/>
        <v>0</v>
      </c>
      <c r="DP78" s="3" t="s">
        <v>125</v>
      </c>
      <c r="DQ78" s="3"/>
      <c r="DR78" s="3">
        <v>6000</v>
      </c>
      <c r="DS78" s="3">
        <f t="shared" si="213"/>
        <v>0</v>
      </c>
      <c r="DT78" s="6">
        <f t="shared" si="214"/>
        <v>870000</v>
      </c>
      <c r="DU78" s="2" t="s">
        <v>157</v>
      </c>
      <c r="DV78" s="3">
        <f t="shared" si="263"/>
        <v>3</v>
      </c>
      <c r="DW78" s="3">
        <f t="shared" si="264"/>
        <v>7000</v>
      </c>
      <c r="DX78" s="3">
        <f t="shared" si="265"/>
        <v>21000</v>
      </c>
      <c r="DY78" s="3" t="s">
        <v>127</v>
      </c>
      <c r="DZ78" s="3">
        <f t="shared" si="266"/>
        <v>7</v>
      </c>
      <c r="EA78" s="2">
        <v>50000</v>
      </c>
      <c r="EB78" s="3">
        <f t="shared" si="267"/>
        <v>350000</v>
      </c>
      <c r="EC78" s="2" t="s">
        <v>127</v>
      </c>
      <c r="ED78" s="3">
        <f t="shared" si="268"/>
        <v>0</v>
      </c>
      <c r="EE78" s="3">
        <v>80000</v>
      </c>
      <c r="EF78" s="3">
        <f t="shared" si="269"/>
        <v>0</v>
      </c>
      <c r="EG78" s="2" t="s">
        <v>157</v>
      </c>
      <c r="EH78" s="3">
        <f t="shared" si="270"/>
        <v>100</v>
      </c>
      <c r="EI78" s="3">
        <v>6000</v>
      </c>
      <c r="EJ78" s="7">
        <f>EH78*EI78</f>
        <v>600000</v>
      </c>
      <c r="EK78" s="2" t="s">
        <v>157</v>
      </c>
      <c r="EL78" s="13">
        <f t="shared" si="271"/>
        <v>50</v>
      </c>
      <c r="EM78" s="3">
        <v>3000</v>
      </c>
      <c r="EN78" s="3">
        <f t="shared" si="272"/>
        <v>150000</v>
      </c>
      <c r="EO78" s="3" t="s">
        <v>126</v>
      </c>
      <c r="EP78" s="3">
        <f t="shared" si="273"/>
        <v>300</v>
      </c>
      <c r="EQ78" s="3">
        <v>1000</v>
      </c>
      <c r="ER78" s="7">
        <f t="shared" si="274"/>
        <v>300000</v>
      </c>
      <c r="ES78" s="3" t="s">
        <v>124</v>
      </c>
      <c r="ET78" s="2">
        <v>1</v>
      </c>
      <c r="EU78" s="3">
        <v>60000</v>
      </c>
      <c r="EV78" s="3">
        <f t="shared" si="275"/>
        <v>60000</v>
      </c>
      <c r="EW78" s="3" t="s">
        <v>124</v>
      </c>
      <c r="EX78" s="14"/>
      <c r="EY78" s="3">
        <v>60000</v>
      </c>
      <c r="EZ78" s="3">
        <f t="shared" si="276"/>
        <v>0</v>
      </c>
      <c r="FA78" s="3" t="s">
        <v>170</v>
      </c>
      <c r="FB78" s="14"/>
      <c r="FC78" s="3">
        <v>1000</v>
      </c>
      <c r="FD78" s="3">
        <f t="shared" si="277"/>
        <v>0</v>
      </c>
      <c r="FE78" s="3" t="s">
        <v>126</v>
      </c>
      <c r="FF78" s="3">
        <f t="shared" si="278"/>
        <v>0</v>
      </c>
      <c r="FG78" s="3">
        <v>6000</v>
      </c>
      <c r="FH78" s="3">
        <f t="shared" si="279"/>
        <v>0</v>
      </c>
      <c r="FI78" s="1">
        <f t="shared" si="280"/>
        <v>1481000</v>
      </c>
      <c r="FJ78" s="3" t="s">
        <v>139</v>
      </c>
      <c r="FK78" s="2">
        <v>40</v>
      </c>
      <c r="FL78" s="2">
        <v>6000</v>
      </c>
      <c r="FM78" s="3">
        <f t="shared" si="281"/>
        <v>240000</v>
      </c>
      <c r="FN78" s="3" t="s">
        <v>139</v>
      </c>
      <c r="FO78" s="2"/>
      <c r="FP78" s="3">
        <v>6000</v>
      </c>
      <c r="FQ78" s="3">
        <f t="shared" si="282"/>
        <v>0</v>
      </c>
      <c r="FR78" s="3" t="s">
        <v>139</v>
      </c>
      <c r="FS78" s="13"/>
      <c r="FT78" s="15">
        <v>6000</v>
      </c>
      <c r="FU78" s="3">
        <f t="shared" si="283"/>
        <v>0</v>
      </c>
      <c r="FV78" s="3" t="s">
        <v>139</v>
      </c>
      <c r="FW78" s="14"/>
      <c r="FX78" s="3">
        <v>8000</v>
      </c>
      <c r="FY78" s="3">
        <f t="shared" si="284"/>
        <v>0</v>
      </c>
      <c r="FZ78" s="3" t="s">
        <v>139</v>
      </c>
      <c r="GA78" s="3">
        <v>2</v>
      </c>
      <c r="GB78" s="3">
        <v>8000</v>
      </c>
      <c r="GC78" s="3">
        <f t="shared" si="285"/>
        <v>16000</v>
      </c>
      <c r="GD78" s="3" t="s">
        <v>139</v>
      </c>
      <c r="GE78" s="3">
        <v>10</v>
      </c>
      <c r="GF78" s="3">
        <v>10000</v>
      </c>
      <c r="GG78" s="3">
        <f t="shared" si="286"/>
        <v>100000</v>
      </c>
      <c r="GH78" s="3" t="s">
        <v>139</v>
      </c>
      <c r="GI78" s="14"/>
      <c r="GJ78" s="14"/>
      <c r="GK78" s="3">
        <f t="shared" si="287"/>
        <v>0</v>
      </c>
      <c r="GL78" s="92">
        <f t="shared" si="288"/>
        <v>356000</v>
      </c>
      <c r="GM78" s="8">
        <f t="shared" si="289"/>
        <v>2870000</v>
      </c>
      <c r="GN78" s="8">
        <f t="shared" si="290"/>
        <v>500</v>
      </c>
      <c r="GO78" s="102">
        <v>7500</v>
      </c>
      <c r="GP78" s="8">
        <f t="shared" si="291"/>
        <v>3750000</v>
      </c>
      <c r="GQ78" s="8">
        <f t="shared" si="292"/>
        <v>11250000</v>
      </c>
      <c r="GR78" s="8">
        <f t="shared" si="293"/>
        <v>880000</v>
      </c>
      <c r="GS78" s="8">
        <f t="shared" si="294"/>
        <v>8380000</v>
      </c>
      <c r="GT78" s="15" t="s">
        <v>1819</v>
      </c>
      <c r="GU78" s="47" t="s">
        <v>1520</v>
      </c>
    </row>
    <row r="79" spans="1:203" s="38" customFormat="1" ht="158.25" customHeight="1">
      <c r="A79" s="44">
        <v>80</v>
      </c>
      <c r="B79" s="23" t="s">
        <v>830</v>
      </c>
      <c r="C79" s="13" t="s">
        <v>831</v>
      </c>
      <c r="D79" s="15" t="s">
        <v>1525</v>
      </c>
      <c r="E79" s="13" t="s">
        <v>1527</v>
      </c>
      <c r="F79" s="15" t="s">
        <v>1526</v>
      </c>
      <c r="G79" s="15" t="s">
        <v>1528</v>
      </c>
      <c r="H79" s="13" t="s">
        <v>827</v>
      </c>
      <c r="I79" s="15" t="s">
        <v>1529</v>
      </c>
      <c r="J79" s="15" t="s">
        <v>1530</v>
      </c>
      <c r="K79" s="15" t="s">
        <v>1532</v>
      </c>
      <c r="L79" s="15" t="s">
        <v>1533</v>
      </c>
      <c r="M79" s="15" t="s">
        <v>1534</v>
      </c>
      <c r="N79" s="15" t="s">
        <v>1535</v>
      </c>
      <c r="O79" s="15" t="s">
        <v>1536</v>
      </c>
      <c r="P79" s="15" t="s">
        <v>1537</v>
      </c>
      <c r="Q79" s="13" t="s">
        <v>997</v>
      </c>
      <c r="R79" s="13">
        <v>30</v>
      </c>
      <c r="S79" s="15">
        <v>40</v>
      </c>
      <c r="T79" s="15">
        <v>10000</v>
      </c>
      <c r="U79" s="15">
        <v>900</v>
      </c>
      <c r="V79" s="15">
        <v>1300</v>
      </c>
      <c r="W79" s="13"/>
      <c r="X79" s="13">
        <v>0.5</v>
      </c>
      <c r="Y79" s="13">
        <v>0.8</v>
      </c>
      <c r="Z79" s="15" t="s">
        <v>1553</v>
      </c>
      <c r="AA79" s="15" t="s">
        <v>1554</v>
      </c>
      <c r="AB79" s="15" t="s">
        <v>1556</v>
      </c>
      <c r="AC79" s="3">
        <v>50000</v>
      </c>
      <c r="AD79" s="13">
        <v>6</v>
      </c>
      <c r="AE79" s="13"/>
      <c r="AF79" s="3">
        <v>80000</v>
      </c>
      <c r="AG79" s="3">
        <f t="shared" si="211"/>
        <v>300000</v>
      </c>
      <c r="AH79" s="15" t="s">
        <v>2017</v>
      </c>
      <c r="AI79" s="15">
        <v>250</v>
      </c>
      <c r="AJ79" s="15">
        <v>1000</v>
      </c>
      <c r="AK79" s="55">
        <v>200</v>
      </c>
      <c r="AL79" s="15">
        <v>6000</v>
      </c>
      <c r="AM79" s="15">
        <v>75</v>
      </c>
      <c r="AN79" s="15">
        <v>3000</v>
      </c>
      <c r="AO79" s="42"/>
      <c r="AP79" s="15">
        <v>6000</v>
      </c>
      <c r="AQ79" s="2">
        <f t="shared" si="199"/>
        <v>1675000</v>
      </c>
      <c r="AR79" s="13" t="s">
        <v>1540</v>
      </c>
      <c r="AS79" s="13" t="s">
        <v>1539</v>
      </c>
      <c r="AT79" s="2" t="s">
        <v>139</v>
      </c>
      <c r="AU79" s="13">
        <v>7.5</v>
      </c>
      <c r="AV79" s="3">
        <v>6000</v>
      </c>
      <c r="AW79" s="2">
        <f t="shared" si="134"/>
        <v>45000</v>
      </c>
      <c r="AX79" s="2" t="s">
        <v>139</v>
      </c>
      <c r="AY79" s="13">
        <v>5</v>
      </c>
      <c r="AZ79" s="3">
        <v>6000</v>
      </c>
      <c r="BA79" s="2">
        <f t="shared" si="164"/>
        <v>30000</v>
      </c>
      <c r="BB79" s="2" t="s">
        <v>139</v>
      </c>
      <c r="BC79" s="13">
        <v>2</v>
      </c>
      <c r="BD79" s="3">
        <v>6000</v>
      </c>
      <c r="BE79" s="3">
        <f t="shared" si="165"/>
        <v>12000</v>
      </c>
      <c r="BF79" s="3" t="s">
        <v>125</v>
      </c>
      <c r="BG79" s="2">
        <v>2</v>
      </c>
      <c r="BH79" s="3">
        <v>6000</v>
      </c>
      <c r="BI79" s="3">
        <f t="shared" si="215"/>
        <v>12000</v>
      </c>
      <c r="BJ79" s="3" t="s">
        <v>126</v>
      </c>
      <c r="BK79" s="13"/>
      <c r="BL79" s="3">
        <v>1000</v>
      </c>
      <c r="BM79" s="3">
        <f t="shared" si="258"/>
        <v>0</v>
      </c>
      <c r="BN79" s="13" t="s">
        <v>20</v>
      </c>
      <c r="BO79" s="13"/>
      <c r="BP79" s="2">
        <v>3000</v>
      </c>
      <c r="BQ79" s="3">
        <f>BO79*BP79</f>
        <v>0</v>
      </c>
      <c r="BR79" s="2" t="s">
        <v>126</v>
      </c>
      <c r="BS79" s="13"/>
      <c r="BT79" s="2">
        <f>6000</f>
        <v>6000</v>
      </c>
      <c r="BU79" s="3">
        <f t="shared" si="256"/>
        <v>0</v>
      </c>
      <c r="BV79" s="2" t="s">
        <v>126</v>
      </c>
      <c r="BW79" s="13">
        <v>9</v>
      </c>
      <c r="BX79" s="2">
        <v>6000</v>
      </c>
      <c r="BY79" s="3">
        <f t="shared" si="136"/>
        <v>54000</v>
      </c>
      <c r="BZ79" s="92">
        <f t="shared" si="260"/>
        <v>123000</v>
      </c>
      <c r="CA79" s="2" t="s">
        <v>139</v>
      </c>
      <c r="CB79" s="3">
        <v>5</v>
      </c>
      <c r="CC79" s="3">
        <v>8000</v>
      </c>
      <c r="CD79" s="3">
        <f t="shared" si="200"/>
        <v>40000</v>
      </c>
      <c r="CE79" s="2" t="s">
        <v>139</v>
      </c>
      <c r="CF79" s="2">
        <v>30</v>
      </c>
      <c r="CG79" s="2">
        <v>6000</v>
      </c>
      <c r="CH79" s="3">
        <f t="shared" si="201"/>
        <v>180000</v>
      </c>
      <c r="CI79" s="3" t="s">
        <v>139</v>
      </c>
      <c r="CJ79" s="3">
        <v>1</v>
      </c>
      <c r="CK79" s="14"/>
      <c r="CL79" s="3">
        <f t="shared" si="261"/>
        <v>0</v>
      </c>
      <c r="CM79" s="5">
        <f t="shared" si="262"/>
        <v>220000</v>
      </c>
      <c r="CN79" s="3" t="s">
        <v>125</v>
      </c>
      <c r="CO79" s="3">
        <v>0</v>
      </c>
      <c r="CP79" s="3">
        <v>6000</v>
      </c>
      <c r="CQ79" s="3">
        <f t="shared" si="154"/>
        <v>0</v>
      </c>
      <c r="CR79" s="3" t="s">
        <v>125</v>
      </c>
      <c r="CS79" s="3">
        <v>75</v>
      </c>
      <c r="CT79" s="3">
        <v>6000</v>
      </c>
      <c r="CU79" s="3">
        <f t="shared" si="155"/>
        <v>450000</v>
      </c>
      <c r="CV79" s="3" t="s">
        <v>125</v>
      </c>
      <c r="CW79" s="3">
        <v>30</v>
      </c>
      <c r="CX79" s="3">
        <v>6000</v>
      </c>
      <c r="CY79" s="3">
        <f t="shared" si="219"/>
        <v>180000</v>
      </c>
      <c r="CZ79" s="3" t="s">
        <v>125</v>
      </c>
      <c r="DA79" s="3">
        <v>15</v>
      </c>
      <c r="DB79" s="3">
        <v>6000</v>
      </c>
      <c r="DC79" s="3">
        <f t="shared" si="220"/>
        <v>90000</v>
      </c>
      <c r="DD79" s="3" t="s">
        <v>125</v>
      </c>
      <c r="DE79" s="3">
        <v>5</v>
      </c>
      <c r="DF79" s="3">
        <v>6000</v>
      </c>
      <c r="DG79" s="3">
        <f t="shared" si="121"/>
        <v>30000</v>
      </c>
      <c r="DH79" s="3" t="s">
        <v>125</v>
      </c>
      <c r="DI79" s="3">
        <v>100</v>
      </c>
      <c r="DJ79" s="3">
        <v>6000</v>
      </c>
      <c r="DK79" s="3">
        <f t="shared" si="158"/>
        <v>600000</v>
      </c>
      <c r="DL79" s="3" t="s">
        <v>125</v>
      </c>
      <c r="DM79" s="3"/>
      <c r="DN79" s="3">
        <v>6000</v>
      </c>
      <c r="DO79" s="3">
        <f t="shared" si="159"/>
        <v>0</v>
      </c>
      <c r="DP79" s="3" t="s">
        <v>125</v>
      </c>
      <c r="DQ79" s="3"/>
      <c r="DR79" s="3">
        <v>6000</v>
      </c>
      <c r="DS79" s="3">
        <f t="shared" si="213"/>
        <v>0</v>
      </c>
      <c r="DT79" s="6">
        <f t="shared" si="214"/>
        <v>1350000</v>
      </c>
      <c r="DU79" s="2" t="s">
        <v>157</v>
      </c>
      <c r="DV79" s="3">
        <f t="shared" si="263"/>
        <v>30</v>
      </c>
      <c r="DW79" s="3">
        <f t="shared" si="264"/>
        <v>10000</v>
      </c>
      <c r="DX79" s="3">
        <f t="shared" si="265"/>
        <v>300000</v>
      </c>
      <c r="DY79" s="3" t="s">
        <v>127</v>
      </c>
      <c r="DZ79" s="3">
        <f t="shared" si="266"/>
        <v>6</v>
      </c>
      <c r="EA79" s="2">
        <v>50000</v>
      </c>
      <c r="EB79" s="3">
        <f t="shared" si="267"/>
        <v>300000</v>
      </c>
      <c r="EC79" s="2" t="s">
        <v>127</v>
      </c>
      <c r="ED79" s="3">
        <f t="shared" si="268"/>
        <v>0</v>
      </c>
      <c r="EE79" s="3">
        <v>80000</v>
      </c>
      <c r="EF79" s="3">
        <f t="shared" si="269"/>
        <v>0</v>
      </c>
      <c r="EG79" s="2" t="s">
        <v>157</v>
      </c>
      <c r="EH79" s="3">
        <f t="shared" si="270"/>
        <v>200</v>
      </c>
      <c r="EI79" s="3">
        <v>6000</v>
      </c>
      <c r="EJ79" s="7">
        <f t="shared" ref="EJ79:EJ81" si="295">EH79*EI79</f>
        <v>1200000</v>
      </c>
      <c r="EK79" s="2" t="s">
        <v>157</v>
      </c>
      <c r="EL79" s="13">
        <f t="shared" si="271"/>
        <v>75</v>
      </c>
      <c r="EM79" s="3">
        <v>3000</v>
      </c>
      <c r="EN79" s="3">
        <f t="shared" si="272"/>
        <v>225000</v>
      </c>
      <c r="EO79" s="3" t="s">
        <v>126</v>
      </c>
      <c r="EP79" s="3">
        <f t="shared" si="273"/>
        <v>250</v>
      </c>
      <c r="EQ79" s="3">
        <v>1000</v>
      </c>
      <c r="ER79" s="7">
        <f t="shared" si="274"/>
        <v>250000</v>
      </c>
      <c r="ES79" s="3" t="s">
        <v>124</v>
      </c>
      <c r="ET79" s="2">
        <v>1</v>
      </c>
      <c r="EU79" s="3">
        <v>60000</v>
      </c>
      <c r="EV79" s="3">
        <f t="shared" si="275"/>
        <v>60000</v>
      </c>
      <c r="EW79" s="3" t="s">
        <v>124</v>
      </c>
      <c r="EX79" s="14"/>
      <c r="EY79" s="3">
        <v>60000</v>
      </c>
      <c r="EZ79" s="3">
        <f t="shared" si="276"/>
        <v>0</v>
      </c>
      <c r="FA79" s="3" t="s">
        <v>170</v>
      </c>
      <c r="FB79" s="14"/>
      <c r="FC79" s="3">
        <v>1000</v>
      </c>
      <c r="FD79" s="3">
        <f t="shared" si="277"/>
        <v>0</v>
      </c>
      <c r="FE79" s="3" t="s">
        <v>126</v>
      </c>
      <c r="FF79" s="3">
        <f t="shared" si="278"/>
        <v>0</v>
      </c>
      <c r="FG79" s="3">
        <v>6000</v>
      </c>
      <c r="FH79" s="3">
        <f t="shared" si="279"/>
        <v>0</v>
      </c>
      <c r="FI79" s="1">
        <f t="shared" si="280"/>
        <v>2335000</v>
      </c>
      <c r="FJ79" s="3" t="s">
        <v>139</v>
      </c>
      <c r="FK79" s="2">
        <v>40</v>
      </c>
      <c r="FL79" s="2">
        <v>6000</v>
      </c>
      <c r="FM79" s="3">
        <f t="shared" si="281"/>
        <v>240000</v>
      </c>
      <c r="FN79" s="3" t="s">
        <v>139</v>
      </c>
      <c r="FO79" s="2"/>
      <c r="FP79" s="3">
        <v>6000</v>
      </c>
      <c r="FQ79" s="3">
        <f t="shared" si="282"/>
        <v>0</v>
      </c>
      <c r="FR79" s="3" t="s">
        <v>139</v>
      </c>
      <c r="FS79" s="13"/>
      <c r="FT79" s="15">
        <v>6000</v>
      </c>
      <c r="FU79" s="3">
        <f t="shared" si="283"/>
        <v>0</v>
      </c>
      <c r="FV79" s="3" t="s">
        <v>139</v>
      </c>
      <c r="FW79" s="14"/>
      <c r="FX79" s="3">
        <v>8000</v>
      </c>
      <c r="FY79" s="3">
        <f t="shared" si="284"/>
        <v>0</v>
      </c>
      <c r="FZ79" s="3" t="s">
        <v>139</v>
      </c>
      <c r="GA79" s="3">
        <v>2</v>
      </c>
      <c r="GB79" s="3">
        <v>8000</v>
      </c>
      <c r="GC79" s="3">
        <f t="shared" si="285"/>
        <v>16000</v>
      </c>
      <c r="GD79" s="3" t="s">
        <v>139</v>
      </c>
      <c r="GE79" s="3">
        <v>10</v>
      </c>
      <c r="GF79" s="3">
        <v>10000</v>
      </c>
      <c r="GG79" s="3">
        <f t="shared" si="286"/>
        <v>100000</v>
      </c>
      <c r="GH79" s="3" t="s">
        <v>139</v>
      </c>
      <c r="GI79" s="14"/>
      <c r="GJ79" s="14"/>
      <c r="GK79" s="3">
        <f t="shared" si="287"/>
        <v>0</v>
      </c>
      <c r="GL79" s="92">
        <f t="shared" si="288"/>
        <v>356000</v>
      </c>
      <c r="GM79" s="8">
        <f t="shared" si="289"/>
        <v>4384000</v>
      </c>
      <c r="GN79" s="8">
        <f>X79*1000</f>
        <v>500</v>
      </c>
      <c r="GO79" s="102">
        <v>10000</v>
      </c>
      <c r="GP79" s="8">
        <f t="shared" si="291"/>
        <v>5000000</v>
      </c>
      <c r="GQ79" s="8">
        <f t="shared" si="292"/>
        <v>8000000</v>
      </c>
      <c r="GR79" s="8">
        <f t="shared" si="293"/>
        <v>616000</v>
      </c>
      <c r="GS79" s="8">
        <f t="shared" si="294"/>
        <v>3616000</v>
      </c>
      <c r="GT79" s="15" t="s">
        <v>1821</v>
      </c>
      <c r="GU79" s="47" t="s">
        <v>1820</v>
      </c>
    </row>
    <row r="80" spans="1:203" s="65" customFormat="1" ht="158.25" customHeight="1">
      <c r="A80" s="44">
        <v>81</v>
      </c>
      <c r="B80" s="18" t="s">
        <v>830</v>
      </c>
      <c r="C80" s="15" t="s">
        <v>1541</v>
      </c>
      <c r="D80" s="15" t="s">
        <v>1544</v>
      </c>
      <c r="E80" s="15" t="s">
        <v>1543</v>
      </c>
      <c r="F80" s="15" t="s">
        <v>1545</v>
      </c>
      <c r="G80" s="15" t="s">
        <v>1542</v>
      </c>
      <c r="H80" s="13" t="s">
        <v>827</v>
      </c>
      <c r="I80" s="15" t="s">
        <v>1546</v>
      </c>
      <c r="J80" s="15" t="s">
        <v>1531</v>
      </c>
      <c r="K80" s="15" t="s">
        <v>1547</v>
      </c>
      <c r="L80" s="15" t="s">
        <v>1548</v>
      </c>
      <c r="M80" s="15" t="s">
        <v>1549</v>
      </c>
      <c r="N80" s="15" t="s">
        <v>1535</v>
      </c>
      <c r="O80" s="15" t="s">
        <v>1550</v>
      </c>
      <c r="P80" s="15" t="s">
        <v>1538</v>
      </c>
      <c r="Q80" s="15" t="s">
        <v>997</v>
      </c>
      <c r="R80" s="13">
        <v>25</v>
      </c>
      <c r="S80" s="15">
        <v>40</v>
      </c>
      <c r="T80" s="15">
        <v>10000</v>
      </c>
      <c r="U80" s="15">
        <v>800</v>
      </c>
      <c r="V80" s="15">
        <v>1200</v>
      </c>
      <c r="W80" s="15" t="s">
        <v>1551</v>
      </c>
      <c r="X80" s="15">
        <v>0.8</v>
      </c>
      <c r="Y80" s="15">
        <v>1.5</v>
      </c>
      <c r="Z80" s="15" t="s">
        <v>1557</v>
      </c>
      <c r="AA80" s="15" t="s">
        <v>1554</v>
      </c>
      <c r="AB80" s="15" t="s">
        <v>1555</v>
      </c>
      <c r="AC80" s="3">
        <v>50000</v>
      </c>
      <c r="AD80" s="15">
        <v>6</v>
      </c>
      <c r="AE80" s="15"/>
      <c r="AF80" s="3">
        <v>80000</v>
      </c>
      <c r="AG80" s="3">
        <f t="shared" si="211"/>
        <v>300000</v>
      </c>
      <c r="AH80" s="15" t="s">
        <v>2017</v>
      </c>
      <c r="AI80" s="15">
        <v>250</v>
      </c>
      <c r="AJ80" s="15">
        <v>1000</v>
      </c>
      <c r="AK80" s="55">
        <v>200</v>
      </c>
      <c r="AL80" s="15">
        <v>6000</v>
      </c>
      <c r="AM80" s="15">
        <v>75</v>
      </c>
      <c r="AN80" s="15">
        <v>3000</v>
      </c>
      <c r="AO80" s="19"/>
      <c r="AP80" s="15">
        <v>6000</v>
      </c>
      <c r="AQ80" s="2">
        <f t="shared" si="199"/>
        <v>1675000</v>
      </c>
      <c r="AR80" s="15" t="s">
        <v>1540</v>
      </c>
      <c r="AS80" s="13" t="s">
        <v>1539</v>
      </c>
      <c r="AT80" s="2" t="s">
        <v>139</v>
      </c>
      <c r="AU80" s="13">
        <v>7.5</v>
      </c>
      <c r="AV80" s="3">
        <v>6000</v>
      </c>
      <c r="AW80" s="2">
        <f t="shared" si="134"/>
        <v>45000</v>
      </c>
      <c r="AX80" s="2" t="s">
        <v>139</v>
      </c>
      <c r="AY80" s="13">
        <v>5</v>
      </c>
      <c r="AZ80" s="3">
        <v>6000</v>
      </c>
      <c r="BA80" s="2">
        <f t="shared" si="164"/>
        <v>30000</v>
      </c>
      <c r="BB80" s="2" t="s">
        <v>139</v>
      </c>
      <c r="BC80" s="13">
        <v>2</v>
      </c>
      <c r="BD80" s="3">
        <v>6000</v>
      </c>
      <c r="BE80" s="3">
        <f t="shared" si="165"/>
        <v>12000</v>
      </c>
      <c r="BF80" s="3" t="s">
        <v>125</v>
      </c>
      <c r="BG80" s="2">
        <v>2</v>
      </c>
      <c r="BH80" s="3">
        <v>6000</v>
      </c>
      <c r="BI80" s="3">
        <f t="shared" si="215"/>
        <v>12000</v>
      </c>
      <c r="BJ80" s="3" t="s">
        <v>126</v>
      </c>
      <c r="BK80" s="13"/>
      <c r="BL80" s="3">
        <v>1000</v>
      </c>
      <c r="BM80" s="3">
        <f t="shared" si="258"/>
        <v>0</v>
      </c>
      <c r="BN80" s="13" t="s">
        <v>20</v>
      </c>
      <c r="BO80" s="13"/>
      <c r="BP80" s="2">
        <v>3000</v>
      </c>
      <c r="BQ80" s="3">
        <f>BO80*BP80</f>
        <v>0</v>
      </c>
      <c r="BR80" s="2" t="s">
        <v>126</v>
      </c>
      <c r="BS80" s="13"/>
      <c r="BT80" s="2">
        <f>6000</f>
        <v>6000</v>
      </c>
      <c r="BU80" s="3">
        <f t="shared" si="256"/>
        <v>0</v>
      </c>
      <c r="BV80" s="2" t="s">
        <v>126</v>
      </c>
      <c r="BW80" s="13">
        <v>9</v>
      </c>
      <c r="BX80" s="2">
        <v>6000</v>
      </c>
      <c r="BY80" s="3">
        <f t="shared" si="136"/>
        <v>54000</v>
      </c>
      <c r="BZ80" s="92">
        <f t="shared" si="260"/>
        <v>123000</v>
      </c>
      <c r="CA80" s="3"/>
      <c r="CB80" s="3">
        <v>5</v>
      </c>
      <c r="CC80" s="3">
        <v>8000</v>
      </c>
      <c r="CD80" s="3">
        <f t="shared" si="200"/>
        <v>40000</v>
      </c>
      <c r="CE80" s="3"/>
      <c r="CF80" s="3">
        <v>30</v>
      </c>
      <c r="CG80" s="3"/>
      <c r="CH80" s="3">
        <f t="shared" si="201"/>
        <v>0</v>
      </c>
      <c r="CI80" s="3" t="s">
        <v>139</v>
      </c>
      <c r="CJ80" s="3">
        <v>1</v>
      </c>
      <c r="CK80" s="15"/>
      <c r="CL80" s="3">
        <f t="shared" si="261"/>
        <v>0</v>
      </c>
      <c r="CM80" s="8">
        <f t="shared" si="262"/>
        <v>40000</v>
      </c>
      <c r="CN80" s="3" t="s">
        <v>125</v>
      </c>
      <c r="CO80" s="3">
        <v>0</v>
      </c>
      <c r="CP80" s="3">
        <v>6000</v>
      </c>
      <c r="CQ80" s="3">
        <f t="shared" si="154"/>
        <v>0</v>
      </c>
      <c r="CR80" s="3" t="s">
        <v>125</v>
      </c>
      <c r="CS80" s="3">
        <v>75</v>
      </c>
      <c r="CT80" s="3">
        <v>6000</v>
      </c>
      <c r="CU80" s="3">
        <f t="shared" si="155"/>
        <v>450000</v>
      </c>
      <c r="CV80" s="3" t="s">
        <v>125</v>
      </c>
      <c r="CW80" s="3">
        <v>30</v>
      </c>
      <c r="CX80" s="3">
        <v>6000</v>
      </c>
      <c r="CY80" s="3">
        <f t="shared" si="219"/>
        <v>180000</v>
      </c>
      <c r="CZ80" s="3" t="s">
        <v>125</v>
      </c>
      <c r="DA80" s="3">
        <v>15</v>
      </c>
      <c r="DB80" s="3">
        <v>6000</v>
      </c>
      <c r="DC80" s="3">
        <f t="shared" si="220"/>
        <v>90000</v>
      </c>
      <c r="DD80" s="3" t="s">
        <v>125</v>
      </c>
      <c r="DE80" s="3">
        <v>5</v>
      </c>
      <c r="DF80" s="3">
        <v>6000</v>
      </c>
      <c r="DG80" s="3">
        <f t="shared" si="121"/>
        <v>30000</v>
      </c>
      <c r="DH80" s="3" t="s">
        <v>125</v>
      </c>
      <c r="DI80" s="3">
        <v>100</v>
      </c>
      <c r="DJ80" s="3">
        <v>6000</v>
      </c>
      <c r="DK80" s="3">
        <f t="shared" si="158"/>
        <v>600000</v>
      </c>
      <c r="DL80" s="3" t="s">
        <v>125</v>
      </c>
      <c r="DM80" s="3"/>
      <c r="DN80" s="3">
        <v>6000</v>
      </c>
      <c r="DO80" s="3">
        <f t="shared" si="159"/>
        <v>0</v>
      </c>
      <c r="DP80" s="3" t="s">
        <v>125</v>
      </c>
      <c r="DQ80" s="3"/>
      <c r="DR80" s="3">
        <v>6000</v>
      </c>
      <c r="DS80" s="3">
        <f t="shared" si="213"/>
        <v>0</v>
      </c>
      <c r="DT80" s="6">
        <f t="shared" si="214"/>
        <v>1350000</v>
      </c>
      <c r="DU80" s="3" t="s">
        <v>157</v>
      </c>
      <c r="DV80" s="3">
        <f t="shared" si="263"/>
        <v>25</v>
      </c>
      <c r="DW80" s="3">
        <f t="shared" si="264"/>
        <v>10000</v>
      </c>
      <c r="DX80" s="3">
        <f t="shared" si="265"/>
        <v>250000</v>
      </c>
      <c r="DY80" s="3" t="s">
        <v>127</v>
      </c>
      <c r="DZ80" s="3">
        <f t="shared" si="266"/>
        <v>6</v>
      </c>
      <c r="EA80" s="3">
        <v>50000</v>
      </c>
      <c r="EB80" s="3">
        <f t="shared" si="267"/>
        <v>300000</v>
      </c>
      <c r="EC80" s="3" t="s">
        <v>127</v>
      </c>
      <c r="ED80" s="3">
        <f t="shared" si="268"/>
        <v>0</v>
      </c>
      <c r="EE80" s="3">
        <v>80000</v>
      </c>
      <c r="EF80" s="3">
        <f t="shared" si="269"/>
        <v>0</v>
      </c>
      <c r="EG80" s="3"/>
      <c r="EH80" s="3">
        <f t="shared" si="270"/>
        <v>200</v>
      </c>
      <c r="EI80" s="3">
        <v>6000</v>
      </c>
      <c r="EJ80" s="7">
        <f t="shared" si="295"/>
        <v>1200000</v>
      </c>
      <c r="EK80" s="3" t="s">
        <v>157</v>
      </c>
      <c r="EL80" s="15">
        <f t="shared" si="271"/>
        <v>75</v>
      </c>
      <c r="EM80" s="3">
        <v>3000</v>
      </c>
      <c r="EN80" s="3">
        <f t="shared" si="272"/>
        <v>225000</v>
      </c>
      <c r="EO80" s="3" t="s">
        <v>126</v>
      </c>
      <c r="EP80" s="3">
        <f t="shared" si="273"/>
        <v>250</v>
      </c>
      <c r="EQ80" s="3">
        <v>1000</v>
      </c>
      <c r="ER80" s="7">
        <f t="shared" si="274"/>
        <v>250000</v>
      </c>
      <c r="ES80" s="3" t="s">
        <v>124</v>
      </c>
      <c r="ET80" s="3">
        <v>1</v>
      </c>
      <c r="EU80" s="3">
        <v>60000</v>
      </c>
      <c r="EV80" s="3">
        <f t="shared" si="275"/>
        <v>60000</v>
      </c>
      <c r="EW80" s="3" t="s">
        <v>124</v>
      </c>
      <c r="EX80" s="15"/>
      <c r="EY80" s="3">
        <v>60000</v>
      </c>
      <c r="EZ80" s="3">
        <f t="shared" si="276"/>
        <v>0</v>
      </c>
      <c r="FA80" s="3" t="s">
        <v>170</v>
      </c>
      <c r="FB80" s="15"/>
      <c r="FC80" s="3">
        <v>1000</v>
      </c>
      <c r="FD80" s="3">
        <f t="shared" si="277"/>
        <v>0</v>
      </c>
      <c r="FE80" s="3" t="s">
        <v>126</v>
      </c>
      <c r="FF80" s="3">
        <f t="shared" si="278"/>
        <v>0</v>
      </c>
      <c r="FG80" s="3">
        <v>6000</v>
      </c>
      <c r="FH80" s="3">
        <f t="shared" si="279"/>
        <v>0</v>
      </c>
      <c r="FI80" s="64">
        <f t="shared" si="280"/>
        <v>2285000</v>
      </c>
      <c r="FJ80" s="3" t="s">
        <v>139</v>
      </c>
      <c r="FK80" s="2">
        <v>40</v>
      </c>
      <c r="FL80" s="3">
        <v>6000</v>
      </c>
      <c r="FM80" s="3">
        <f t="shared" si="281"/>
        <v>240000</v>
      </c>
      <c r="FN80" s="3" t="s">
        <v>139</v>
      </c>
      <c r="FO80" s="3"/>
      <c r="FP80" s="3">
        <v>6000</v>
      </c>
      <c r="FQ80" s="3">
        <f t="shared" si="282"/>
        <v>0</v>
      </c>
      <c r="FR80" s="3" t="s">
        <v>139</v>
      </c>
      <c r="FS80" s="15"/>
      <c r="FT80" s="15">
        <v>6000</v>
      </c>
      <c r="FU80" s="3">
        <f t="shared" si="283"/>
        <v>0</v>
      </c>
      <c r="FV80" s="3" t="s">
        <v>139</v>
      </c>
      <c r="FW80" s="15"/>
      <c r="FX80" s="3">
        <v>8000</v>
      </c>
      <c r="FY80" s="3">
        <f t="shared" si="284"/>
        <v>0</v>
      </c>
      <c r="FZ80" s="3" t="s">
        <v>139</v>
      </c>
      <c r="GA80" s="3">
        <v>2</v>
      </c>
      <c r="GB80" s="3">
        <v>8000</v>
      </c>
      <c r="GC80" s="3">
        <f t="shared" si="285"/>
        <v>16000</v>
      </c>
      <c r="GD80" s="3" t="s">
        <v>139</v>
      </c>
      <c r="GE80" s="3">
        <v>10</v>
      </c>
      <c r="GF80" s="3">
        <v>10000</v>
      </c>
      <c r="GG80" s="3">
        <f t="shared" si="286"/>
        <v>100000</v>
      </c>
      <c r="GH80" s="3" t="s">
        <v>139</v>
      </c>
      <c r="GI80" s="15"/>
      <c r="GJ80" s="15"/>
      <c r="GK80" s="3">
        <f t="shared" si="287"/>
        <v>0</v>
      </c>
      <c r="GL80" s="63">
        <f t="shared" si="288"/>
        <v>356000</v>
      </c>
      <c r="GM80" s="8">
        <f t="shared" si="289"/>
        <v>4154000</v>
      </c>
      <c r="GN80" s="8">
        <f t="shared" si="290"/>
        <v>800</v>
      </c>
      <c r="GO80" s="103">
        <v>6000</v>
      </c>
      <c r="GP80" s="8">
        <f t="shared" si="291"/>
        <v>4800000</v>
      </c>
      <c r="GQ80" s="8">
        <f t="shared" si="292"/>
        <v>9000000</v>
      </c>
      <c r="GR80" s="8">
        <f t="shared" si="293"/>
        <v>646000</v>
      </c>
      <c r="GS80" s="8">
        <f t="shared" si="294"/>
        <v>4846000</v>
      </c>
      <c r="GT80" s="15" t="s">
        <v>1822</v>
      </c>
      <c r="GU80" s="47" t="s">
        <v>1552</v>
      </c>
    </row>
    <row r="81" spans="1:280" s="26" customFormat="1" ht="158.25" customHeight="1">
      <c r="A81" s="44">
        <v>82</v>
      </c>
      <c r="B81" s="23" t="s">
        <v>821</v>
      </c>
      <c r="C81" s="13" t="s">
        <v>1482</v>
      </c>
      <c r="D81" s="15" t="s">
        <v>822</v>
      </c>
      <c r="E81" s="13" t="s">
        <v>1483</v>
      </c>
      <c r="F81" s="13" t="s">
        <v>1483</v>
      </c>
      <c r="G81" s="18" t="s">
        <v>1484</v>
      </c>
      <c r="H81" s="13" t="s">
        <v>815</v>
      </c>
      <c r="I81" s="15" t="s">
        <v>1485</v>
      </c>
      <c r="J81" s="15" t="s">
        <v>1486</v>
      </c>
      <c r="K81" s="15" t="s">
        <v>1487</v>
      </c>
      <c r="L81" s="15" t="s">
        <v>1488</v>
      </c>
      <c r="M81" s="15" t="s">
        <v>1489</v>
      </c>
      <c r="N81" s="13" t="s">
        <v>1490</v>
      </c>
      <c r="O81" s="13" t="s">
        <v>1491</v>
      </c>
      <c r="P81" s="13" t="s">
        <v>823</v>
      </c>
      <c r="Q81" s="15" t="s">
        <v>1492</v>
      </c>
      <c r="R81" s="13">
        <v>300</v>
      </c>
      <c r="S81" s="13">
        <v>400</v>
      </c>
      <c r="T81" s="13">
        <v>2000</v>
      </c>
      <c r="U81" s="13">
        <v>730</v>
      </c>
      <c r="V81" s="13">
        <v>1825</v>
      </c>
      <c r="W81" s="15" t="s">
        <v>1493</v>
      </c>
      <c r="X81" s="15">
        <v>5</v>
      </c>
      <c r="Y81" s="15">
        <v>15</v>
      </c>
      <c r="Z81" s="15" t="s">
        <v>1494</v>
      </c>
      <c r="AA81" s="15" t="s">
        <v>1495</v>
      </c>
      <c r="AB81" s="15" t="s">
        <v>1496</v>
      </c>
      <c r="AC81" s="3">
        <v>50000</v>
      </c>
      <c r="AD81" s="13">
        <v>6</v>
      </c>
      <c r="AE81" s="32"/>
      <c r="AF81" s="3">
        <v>80000</v>
      </c>
      <c r="AG81" s="3">
        <f t="shared" si="211"/>
        <v>300000</v>
      </c>
      <c r="AH81" s="15" t="s">
        <v>1497</v>
      </c>
      <c r="AI81" s="13">
        <v>250</v>
      </c>
      <c r="AJ81" s="15">
        <v>1000</v>
      </c>
      <c r="AK81" s="13"/>
      <c r="AL81" s="15">
        <v>6000</v>
      </c>
      <c r="AM81" s="15">
        <v>150</v>
      </c>
      <c r="AN81" s="15">
        <v>3000</v>
      </c>
      <c r="AO81" s="42"/>
      <c r="AP81" s="15">
        <v>6000</v>
      </c>
      <c r="AQ81" s="2">
        <f t="shared" si="199"/>
        <v>700000</v>
      </c>
      <c r="AR81" s="15" t="s">
        <v>1498</v>
      </c>
      <c r="AS81" s="15" t="s">
        <v>1499</v>
      </c>
      <c r="AT81" s="2" t="s">
        <v>139</v>
      </c>
      <c r="AU81" s="36"/>
      <c r="AV81" s="3">
        <v>6000</v>
      </c>
      <c r="AW81" s="2">
        <f t="shared" ref="AW81" si="296">AU81*AV81</f>
        <v>0</v>
      </c>
      <c r="AX81" s="3" t="s">
        <v>139</v>
      </c>
      <c r="AY81" s="13"/>
      <c r="AZ81" s="3">
        <v>6000</v>
      </c>
      <c r="BA81" s="3">
        <f t="shared" ref="BA81" si="297">AY81*AZ81</f>
        <v>0</v>
      </c>
      <c r="BB81" s="3" t="s">
        <v>139</v>
      </c>
      <c r="BC81" s="34"/>
      <c r="BD81" s="3">
        <v>6000</v>
      </c>
      <c r="BE81" s="3">
        <f t="shared" ref="BE81" si="298">BC81*BD81</f>
        <v>0</v>
      </c>
      <c r="BF81" s="3" t="s">
        <v>125</v>
      </c>
      <c r="BG81" s="3"/>
      <c r="BH81" s="3">
        <v>6000</v>
      </c>
      <c r="BI81" s="3">
        <f t="shared" ref="BI81" si="299">BG81*BH81</f>
        <v>0</v>
      </c>
      <c r="BJ81" s="13" t="s">
        <v>20</v>
      </c>
      <c r="BK81" s="14"/>
      <c r="BL81" s="3">
        <v>1000</v>
      </c>
      <c r="BM81" s="3">
        <f t="shared" si="258"/>
        <v>0</v>
      </c>
      <c r="BN81" s="2" t="s">
        <v>126</v>
      </c>
      <c r="BO81" s="13"/>
      <c r="BP81" s="2">
        <v>3000</v>
      </c>
      <c r="BQ81" s="13"/>
      <c r="BR81" s="2" t="s">
        <v>126</v>
      </c>
      <c r="BS81" s="13"/>
      <c r="BT81" s="2">
        <f>6000</f>
        <v>6000</v>
      </c>
      <c r="BU81" s="3">
        <f>BS81*BT81</f>
        <v>0</v>
      </c>
      <c r="BV81" s="2" t="s">
        <v>126</v>
      </c>
      <c r="BW81" s="2"/>
      <c r="BX81" s="2">
        <v>6000</v>
      </c>
      <c r="BY81" s="3">
        <f t="shared" ref="BY81" si="300">BW81*BX81</f>
        <v>0</v>
      </c>
      <c r="BZ81" s="92">
        <f>AW81+BE81+BM81+BQ81+BU81+BI81+BY81</f>
        <v>0</v>
      </c>
      <c r="CA81" s="2" t="s">
        <v>139</v>
      </c>
      <c r="CB81" s="3">
        <v>5</v>
      </c>
      <c r="CC81" s="3">
        <v>8000</v>
      </c>
      <c r="CD81" s="3">
        <f t="shared" si="200"/>
        <v>40000</v>
      </c>
      <c r="CE81" s="2" t="s">
        <v>139</v>
      </c>
      <c r="CF81" s="2">
        <v>30</v>
      </c>
      <c r="CG81" s="2">
        <v>6000</v>
      </c>
      <c r="CH81" s="3">
        <f t="shared" si="201"/>
        <v>180000</v>
      </c>
      <c r="CI81" s="3" t="s">
        <v>139</v>
      </c>
      <c r="CJ81" s="3">
        <v>1</v>
      </c>
      <c r="CK81" s="13"/>
      <c r="CL81" s="3">
        <f t="shared" si="261"/>
        <v>0</v>
      </c>
      <c r="CM81" s="5">
        <f t="shared" si="262"/>
        <v>220000</v>
      </c>
      <c r="CN81" s="3" t="s">
        <v>125</v>
      </c>
      <c r="CO81" s="3">
        <v>0</v>
      </c>
      <c r="CP81" s="3">
        <v>6000</v>
      </c>
      <c r="CQ81" s="3">
        <f t="shared" si="154"/>
        <v>0</v>
      </c>
      <c r="CR81" s="3" t="s">
        <v>125</v>
      </c>
      <c r="CS81" s="3">
        <v>75</v>
      </c>
      <c r="CT81" s="3">
        <v>6000</v>
      </c>
      <c r="CU81" s="3">
        <f t="shared" si="155"/>
        <v>450000</v>
      </c>
      <c r="CV81" s="3" t="s">
        <v>125</v>
      </c>
      <c r="CW81" s="3">
        <v>30</v>
      </c>
      <c r="CX81" s="3">
        <v>6000</v>
      </c>
      <c r="CY81" s="3">
        <f t="shared" si="219"/>
        <v>180000</v>
      </c>
      <c r="CZ81" s="3" t="s">
        <v>125</v>
      </c>
      <c r="DA81" s="3">
        <v>15</v>
      </c>
      <c r="DB81" s="3">
        <v>6000</v>
      </c>
      <c r="DC81" s="3">
        <f t="shared" si="220"/>
        <v>90000</v>
      </c>
      <c r="DD81" s="3" t="s">
        <v>125</v>
      </c>
      <c r="DE81" s="3">
        <v>5</v>
      </c>
      <c r="DF81" s="3">
        <v>6000</v>
      </c>
      <c r="DG81" s="3">
        <f t="shared" ref="DG81:DG87" si="301">DE81*DF81</f>
        <v>30000</v>
      </c>
      <c r="DH81" s="3" t="s">
        <v>125</v>
      </c>
      <c r="DI81" s="3">
        <v>100</v>
      </c>
      <c r="DJ81" s="3">
        <v>6000</v>
      </c>
      <c r="DK81" s="3">
        <f t="shared" si="158"/>
        <v>600000</v>
      </c>
      <c r="DL81" s="3" t="s">
        <v>125</v>
      </c>
      <c r="DM81" s="3"/>
      <c r="DN81" s="3">
        <v>6000</v>
      </c>
      <c r="DO81" s="3">
        <f t="shared" si="159"/>
        <v>0</v>
      </c>
      <c r="DP81" s="3" t="s">
        <v>125</v>
      </c>
      <c r="DQ81" s="3"/>
      <c r="DR81" s="3">
        <v>6000</v>
      </c>
      <c r="DS81" s="3">
        <f t="shared" si="213"/>
        <v>0</v>
      </c>
      <c r="DT81" s="6">
        <f t="shared" si="214"/>
        <v>1350000</v>
      </c>
      <c r="DU81" s="2" t="s">
        <v>157</v>
      </c>
      <c r="DV81" s="3">
        <f t="shared" si="263"/>
        <v>300</v>
      </c>
      <c r="DW81" s="3">
        <f t="shared" si="264"/>
        <v>2000</v>
      </c>
      <c r="DX81" s="3">
        <f t="shared" si="265"/>
        <v>600000</v>
      </c>
      <c r="DY81" s="3" t="s">
        <v>127</v>
      </c>
      <c r="DZ81" s="3">
        <f t="shared" si="266"/>
        <v>6</v>
      </c>
      <c r="EA81" s="2">
        <v>50000</v>
      </c>
      <c r="EB81" s="3">
        <f t="shared" si="267"/>
        <v>300000</v>
      </c>
      <c r="EC81" s="2" t="s">
        <v>127</v>
      </c>
      <c r="ED81" s="3">
        <f t="shared" si="268"/>
        <v>0</v>
      </c>
      <c r="EE81" s="3">
        <v>80000</v>
      </c>
      <c r="EF81" s="3">
        <f t="shared" si="269"/>
        <v>0</v>
      </c>
      <c r="EG81" s="2" t="s">
        <v>157</v>
      </c>
      <c r="EH81" s="3">
        <f t="shared" si="270"/>
        <v>0</v>
      </c>
      <c r="EI81" s="3">
        <v>6000</v>
      </c>
      <c r="EJ81" s="7">
        <f t="shared" si="295"/>
        <v>0</v>
      </c>
      <c r="EK81" s="2" t="s">
        <v>157</v>
      </c>
      <c r="EL81" s="13">
        <f t="shared" si="271"/>
        <v>150</v>
      </c>
      <c r="EM81" s="3">
        <v>3000</v>
      </c>
      <c r="EN81" s="3">
        <f t="shared" si="272"/>
        <v>450000</v>
      </c>
      <c r="EO81" s="3" t="s">
        <v>126</v>
      </c>
      <c r="EP81" s="3">
        <f t="shared" si="273"/>
        <v>250</v>
      </c>
      <c r="EQ81" s="3">
        <v>1000</v>
      </c>
      <c r="ER81" s="7">
        <f t="shared" si="274"/>
        <v>250000</v>
      </c>
      <c r="ES81" s="3" t="s">
        <v>124</v>
      </c>
      <c r="ET81" s="2">
        <v>1</v>
      </c>
      <c r="EU81" s="3">
        <v>60000</v>
      </c>
      <c r="EV81" s="3">
        <f t="shared" si="275"/>
        <v>60000</v>
      </c>
      <c r="EW81" s="3" t="s">
        <v>124</v>
      </c>
      <c r="EX81" s="13"/>
      <c r="EY81" s="3">
        <v>60000</v>
      </c>
      <c r="EZ81" s="3">
        <f t="shared" si="276"/>
        <v>0</v>
      </c>
      <c r="FA81" s="3" t="s">
        <v>170</v>
      </c>
      <c r="FB81" s="14"/>
      <c r="FC81" s="3">
        <v>1000</v>
      </c>
      <c r="FD81" s="3">
        <f t="shared" si="277"/>
        <v>0</v>
      </c>
      <c r="FE81" s="3" t="s">
        <v>126</v>
      </c>
      <c r="FF81" s="3">
        <f t="shared" si="278"/>
        <v>0</v>
      </c>
      <c r="FG81" s="3">
        <v>6000</v>
      </c>
      <c r="FH81" s="3">
        <f t="shared" si="279"/>
        <v>0</v>
      </c>
      <c r="FI81" s="1">
        <f t="shared" si="280"/>
        <v>1660000</v>
      </c>
      <c r="FJ81" s="3" t="s">
        <v>139</v>
      </c>
      <c r="FK81" s="2">
        <v>40</v>
      </c>
      <c r="FL81" s="2">
        <v>6000</v>
      </c>
      <c r="FM81" s="3">
        <f t="shared" si="281"/>
        <v>240000</v>
      </c>
      <c r="FN81" s="3" t="s">
        <v>139</v>
      </c>
      <c r="FO81" s="2"/>
      <c r="FP81" s="3">
        <v>6000</v>
      </c>
      <c r="FQ81" s="3">
        <f t="shared" si="282"/>
        <v>0</v>
      </c>
      <c r="FR81" s="3" t="s">
        <v>139</v>
      </c>
      <c r="FS81" s="13"/>
      <c r="FT81" s="15">
        <v>6000</v>
      </c>
      <c r="FU81" s="3">
        <f t="shared" si="283"/>
        <v>0</v>
      </c>
      <c r="FV81" s="3" t="s">
        <v>139</v>
      </c>
      <c r="FW81" s="14"/>
      <c r="FX81" s="3">
        <v>8000</v>
      </c>
      <c r="FY81" s="3">
        <f t="shared" si="284"/>
        <v>0</v>
      </c>
      <c r="FZ81" s="3" t="s">
        <v>139</v>
      </c>
      <c r="GA81" s="3">
        <v>2</v>
      </c>
      <c r="GB81" s="3">
        <v>8000</v>
      </c>
      <c r="GC81" s="3">
        <f t="shared" si="285"/>
        <v>16000</v>
      </c>
      <c r="GD81" s="3" t="s">
        <v>139</v>
      </c>
      <c r="GE81" s="3">
        <v>10</v>
      </c>
      <c r="GF81" s="3">
        <v>10000</v>
      </c>
      <c r="GG81" s="3">
        <f t="shared" si="286"/>
        <v>100000</v>
      </c>
      <c r="GH81" s="3" t="s">
        <v>139</v>
      </c>
      <c r="GI81" s="13"/>
      <c r="GJ81" s="13"/>
      <c r="GK81" s="3">
        <f t="shared" si="287"/>
        <v>0</v>
      </c>
      <c r="GL81" s="92">
        <f t="shared" si="288"/>
        <v>356000</v>
      </c>
      <c r="GM81" s="8">
        <f t="shared" si="289"/>
        <v>3586000</v>
      </c>
      <c r="GN81" s="8">
        <f t="shared" si="290"/>
        <v>5000</v>
      </c>
      <c r="GO81" s="101">
        <v>1500</v>
      </c>
      <c r="GP81" s="8">
        <f t="shared" si="291"/>
        <v>7500000</v>
      </c>
      <c r="GQ81" s="8">
        <f t="shared" si="292"/>
        <v>22500000</v>
      </c>
      <c r="GR81" s="8">
        <f t="shared" si="293"/>
        <v>3914000</v>
      </c>
      <c r="GS81" s="8">
        <f t="shared" si="294"/>
        <v>18914000</v>
      </c>
      <c r="GT81" s="15" t="s">
        <v>1823</v>
      </c>
      <c r="GU81" s="47" t="s">
        <v>1500</v>
      </c>
    </row>
    <row r="82" spans="1:280" s="53" customFormat="1" ht="158.25" customHeight="1">
      <c r="A82" s="44">
        <v>83</v>
      </c>
      <c r="B82" s="23" t="s">
        <v>841</v>
      </c>
      <c r="C82" s="15" t="s">
        <v>1291</v>
      </c>
      <c r="D82" s="15" t="s">
        <v>1292</v>
      </c>
      <c r="E82" s="15" t="s">
        <v>1293</v>
      </c>
      <c r="F82" s="15" t="s">
        <v>1294</v>
      </c>
      <c r="G82" s="15" t="s">
        <v>1295</v>
      </c>
      <c r="H82" s="13" t="s">
        <v>45</v>
      </c>
      <c r="I82" s="15" t="s">
        <v>1296</v>
      </c>
      <c r="J82" s="13" t="s">
        <v>843</v>
      </c>
      <c r="K82" s="15" t="s">
        <v>1297</v>
      </c>
      <c r="L82" s="15" t="s">
        <v>1298</v>
      </c>
      <c r="M82" s="15" t="s">
        <v>1299</v>
      </c>
      <c r="N82" s="13" t="s">
        <v>844</v>
      </c>
      <c r="O82" s="15" t="s">
        <v>1300</v>
      </c>
      <c r="P82" s="15" t="s">
        <v>1301</v>
      </c>
      <c r="Q82" s="15" t="s">
        <v>997</v>
      </c>
      <c r="R82" s="15">
        <v>5</v>
      </c>
      <c r="S82" s="15">
        <v>10</v>
      </c>
      <c r="T82" s="15">
        <v>1200</v>
      </c>
      <c r="U82" s="15">
        <v>70</v>
      </c>
      <c r="V82" s="15">
        <v>120</v>
      </c>
      <c r="W82" s="15" t="s">
        <v>1302</v>
      </c>
      <c r="X82" s="15">
        <v>0.6</v>
      </c>
      <c r="Y82" s="15">
        <v>1.5</v>
      </c>
      <c r="Z82" s="15" t="s">
        <v>1303</v>
      </c>
      <c r="AA82" s="13" t="s">
        <v>1304</v>
      </c>
      <c r="AB82" s="15" t="s">
        <v>1305</v>
      </c>
      <c r="AC82" s="3">
        <v>50000</v>
      </c>
      <c r="AD82" s="15">
        <v>3</v>
      </c>
      <c r="AE82" s="15"/>
      <c r="AF82" s="3">
        <v>80000</v>
      </c>
      <c r="AG82" s="3">
        <f t="shared" si="211"/>
        <v>150000</v>
      </c>
      <c r="AH82" s="15" t="s">
        <v>2019</v>
      </c>
      <c r="AI82" s="13">
        <v>50</v>
      </c>
      <c r="AJ82" s="15">
        <v>1000</v>
      </c>
      <c r="AK82" s="13">
        <v>50</v>
      </c>
      <c r="AL82" s="15">
        <v>6000</v>
      </c>
      <c r="AM82" s="15">
        <v>50</v>
      </c>
      <c r="AN82" s="15">
        <v>3000</v>
      </c>
      <c r="AO82" s="42"/>
      <c r="AP82" s="15">
        <v>6000</v>
      </c>
      <c r="AQ82" s="2">
        <f t="shared" si="199"/>
        <v>500000</v>
      </c>
      <c r="AR82" s="15" t="s">
        <v>1306</v>
      </c>
      <c r="AS82" s="15" t="s">
        <v>1307</v>
      </c>
      <c r="AT82" s="2" t="s">
        <v>139</v>
      </c>
      <c r="AU82" s="36"/>
      <c r="AV82" s="3">
        <v>6000</v>
      </c>
      <c r="AW82" s="2">
        <f t="shared" si="134"/>
        <v>0</v>
      </c>
      <c r="AX82" s="3" t="s">
        <v>139</v>
      </c>
      <c r="AY82" s="13"/>
      <c r="AZ82" s="3">
        <v>6000</v>
      </c>
      <c r="BA82" s="3">
        <f t="shared" si="164"/>
        <v>0</v>
      </c>
      <c r="BB82" s="3" t="s">
        <v>139</v>
      </c>
      <c r="BC82" s="34"/>
      <c r="BD82" s="3">
        <v>6000</v>
      </c>
      <c r="BE82" s="3">
        <f t="shared" si="165"/>
        <v>0</v>
      </c>
      <c r="BF82" s="3" t="s">
        <v>125</v>
      </c>
      <c r="BG82" s="3"/>
      <c r="BH82" s="3">
        <v>6000</v>
      </c>
      <c r="BI82" s="3">
        <f t="shared" si="215"/>
        <v>0</v>
      </c>
      <c r="BJ82" s="13" t="s">
        <v>20</v>
      </c>
      <c r="BK82" s="14"/>
      <c r="BL82" s="3">
        <v>1000</v>
      </c>
      <c r="BM82" s="3">
        <f t="shared" si="258"/>
        <v>0</v>
      </c>
      <c r="BN82" s="13" t="s">
        <v>20</v>
      </c>
      <c r="BO82" s="13"/>
      <c r="BP82" s="2">
        <v>3000</v>
      </c>
      <c r="BQ82" s="13"/>
      <c r="BR82" s="2" t="s">
        <v>126</v>
      </c>
      <c r="BS82" s="13"/>
      <c r="BT82" s="2">
        <f>6000</f>
        <v>6000</v>
      </c>
      <c r="BU82" s="3">
        <f t="shared" si="256"/>
        <v>0</v>
      </c>
      <c r="BV82" s="13"/>
      <c r="BW82" s="13"/>
      <c r="BX82" s="13"/>
      <c r="BY82" s="3">
        <f t="shared" si="136"/>
        <v>0</v>
      </c>
      <c r="BZ82" s="13"/>
      <c r="CA82" s="2" t="s">
        <v>139</v>
      </c>
      <c r="CB82" s="3">
        <v>5</v>
      </c>
      <c r="CC82" s="3">
        <v>8000</v>
      </c>
      <c r="CD82" s="3">
        <f t="shared" si="200"/>
        <v>40000</v>
      </c>
      <c r="CE82" s="2" t="s">
        <v>139</v>
      </c>
      <c r="CF82" s="2">
        <v>20</v>
      </c>
      <c r="CG82" s="2">
        <v>6000</v>
      </c>
      <c r="CH82" s="3">
        <f t="shared" si="201"/>
        <v>120000</v>
      </c>
      <c r="CI82" s="3" t="s">
        <v>139</v>
      </c>
      <c r="CJ82" s="3">
        <v>1</v>
      </c>
      <c r="CK82" s="13"/>
      <c r="CL82" s="3">
        <f t="shared" si="166"/>
        <v>0</v>
      </c>
      <c r="CM82" s="5">
        <f t="shared" si="167"/>
        <v>160000</v>
      </c>
      <c r="CN82" s="3" t="s">
        <v>125</v>
      </c>
      <c r="CO82" s="3">
        <v>0</v>
      </c>
      <c r="CP82" s="3">
        <v>6000</v>
      </c>
      <c r="CQ82" s="3">
        <f t="shared" si="154"/>
        <v>0</v>
      </c>
      <c r="CR82" s="3" t="s">
        <v>125</v>
      </c>
      <c r="CS82" s="3">
        <v>50</v>
      </c>
      <c r="CT82" s="3">
        <v>6000</v>
      </c>
      <c r="CU82" s="3">
        <f t="shared" si="155"/>
        <v>300000</v>
      </c>
      <c r="CV82" s="3" t="s">
        <v>125</v>
      </c>
      <c r="CW82" s="3">
        <v>20</v>
      </c>
      <c r="CX82" s="3">
        <v>6000</v>
      </c>
      <c r="CY82" s="3">
        <f t="shared" si="219"/>
        <v>120000</v>
      </c>
      <c r="CZ82" s="3" t="s">
        <v>125</v>
      </c>
      <c r="DA82" s="3">
        <v>10</v>
      </c>
      <c r="DB82" s="3">
        <v>6000</v>
      </c>
      <c r="DC82" s="3">
        <f t="shared" si="220"/>
        <v>60000</v>
      </c>
      <c r="DD82" s="3" t="s">
        <v>125</v>
      </c>
      <c r="DE82" s="3">
        <v>2</v>
      </c>
      <c r="DF82" s="3">
        <v>6000</v>
      </c>
      <c r="DG82" s="3">
        <f t="shared" si="301"/>
        <v>12000</v>
      </c>
      <c r="DH82" s="3" t="s">
        <v>125</v>
      </c>
      <c r="DI82" s="3">
        <v>10</v>
      </c>
      <c r="DJ82" s="3">
        <v>6000</v>
      </c>
      <c r="DK82" s="3">
        <f t="shared" si="158"/>
        <v>60000</v>
      </c>
      <c r="DL82" s="3" t="s">
        <v>125</v>
      </c>
      <c r="DM82" s="3"/>
      <c r="DN82" s="3">
        <v>6000</v>
      </c>
      <c r="DO82" s="3">
        <f t="shared" si="159"/>
        <v>0</v>
      </c>
      <c r="DP82" s="3" t="s">
        <v>125</v>
      </c>
      <c r="DQ82" s="3"/>
      <c r="DR82" s="3">
        <v>6000</v>
      </c>
      <c r="DS82" s="3">
        <f t="shared" si="213"/>
        <v>0</v>
      </c>
      <c r="DT82" s="6">
        <f t="shared" si="214"/>
        <v>552000</v>
      </c>
      <c r="DU82" s="2" t="s">
        <v>157</v>
      </c>
      <c r="DV82" s="3">
        <f t="shared" si="189"/>
        <v>5</v>
      </c>
      <c r="DW82" s="3">
        <f t="shared" si="190"/>
        <v>1200</v>
      </c>
      <c r="DX82" s="3">
        <f t="shared" si="168"/>
        <v>6000</v>
      </c>
      <c r="DY82" s="3" t="s">
        <v>127</v>
      </c>
      <c r="DZ82" s="3">
        <f t="shared" si="191"/>
        <v>3</v>
      </c>
      <c r="EA82" s="2">
        <v>50000</v>
      </c>
      <c r="EB82" s="3">
        <f t="shared" si="169"/>
        <v>150000</v>
      </c>
      <c r="EC82" s="2" t="s">
        <v>127</v>
      </c>
      <c r="ED82" s="3">
        <f t="shared" si="192"/>
        <v>0</v>
      </c>
      <c r="EE82" s="3">
        <v>80000</v>
      </c>
      <c r="EF82" s="3">
        <f t="shared" si="170"/>
        <v>0</v>
      </c>
      <c r="EG82" s="2" t="s">
        <v>157</v>
      </c>
      <c r="EH82" s="3">
        <f t="shared" si="193"/>
        <v>50</v>
      </c>
      <c r="EI82" s="3">
        <v>6000</v>
      </c>
      <c r="EJ82" s="7">
        <f t="shared" si="124"/>
        <v>300000</v>
      </c>
      <c r="EK82" s="2" t="s">
        <v>157</v>
      </c>
      <c r="EL82" s="13">
        <f t="shared" si="149"/>
        <v>50</v>
      </c>
      <c r="EM82" s="3">
        <v>3000</v>
      </c>
      <c r="EN82" s="3">
        <f t="shared" si="171"/>
        <v>150000</v>
      </c>
      <c r="EO82" s="3" t="s">
        <v>126</v>
      </c>
      <c r="EP82" s="3">
        <f t="shared" si="194"/>
        <v>50</v>
      </c>
      <c r="EQ82" s="3">
        <v>1000</v>
      </c>
      <c r="ER82" s="7">
        <f t="shared" si="195"/>
        <v>50000</v>
      </c>
      <c r="ES82" s="3" t="s">
        <v>124</v>
      </c>
      <c r="ET82" s="2">
        <v>1</v>
      </c>
      <c r="EU82" s="3">
        <v>60000</v>
      </c>
      <c r="EV82" s="3">
        <f t="shared" si="172"/>
        <v>60000</v>
      </c>
      <c r="EW82" s="3" t="s">
        <v>124</v>
      </c>
      <c r="EX82" s="13"/>
      <c r="EY82" s="3">
        <v>60000</v>
      </c>
      <c r="EZ82" s="3">
        <f t="shared" si="173"/>
        <v>0</v>
      </c>
      <c r="FA82" s="3" t="s">
        <v>170</v>
      </c>
      <c r="FB82" s="14"/>
      <c r="FC82" s="3">
        <v>1000</v>
      </c>
      <c r="FD82" s="3">
        <f t="shared" si="174"/>
        <v>0</v>
      </c>
      <c r="FE82" s="3" t="s">
        <v>126</v>
      </c>
      <c r="FF82" s="3">
        <f t="shared" si="196"/>
        <v>0</v>
      </c>
      <c r="FG82" s="3">
        <v>6000</v>
      </c>
      <c r="FH82" s="3">
        <f t="shared" si="175"/>
        <v>0</v>
      </c>
      <c r="FI82" s="1">
        <f t="shared" si="176"/>
        <v>716000</v>
      </c>
      <c r="FJ82" s="3" t="s">
        <v>139</v>
      </c>
      <c r="FK82" s="2">
        <v>40</v>
      </c>
      <c r="FL82" s="2">
        <v>6000</v>
      </c>
      <c r="FM82" s="3">
        <f t="shared" si="177"/>
        <v>240000</v>
      </c>
      <c r="FN82" s="3" t="s">
        <v>139</v>
      </c>
      <c r="FO82" s="2"/>
      <c r="FP82" s="3">
        <v>6000</v>
      </c>
      <c r="FQ82" s="3">
        <f t="shared" si="197"/>
        <v>0</v>
      </c>
      <c r="FR82" s="3" t="s">
        <v>139</v>
      </c>
      <c r="FS82" s="13"/>
      <c r="FT82" s="15">
        <v>6000</v>
      </c>
      <c r="FU82" s="3">
        <f t="shared" si="178"/>
        <v>0</v>
      </c>
      <c r="FV82" s="3" t="s">
        <v>139</v>
      </c>
      <c r="FW82" s="14"/>
      <c r="FX82" s="3">
        <v>8000</v>
      </c>
      <c r="FY82" s="3">
        <f t="shared" si="179"/>
        <v>0</v>
      </c>
      <c r="FZ82" s="3" t="s">
        <v>139</v>
      </c>
      <c r="GA82" s="3">
        <v>2</v>
      </c>
      <c r="GB82" s="3">
        <v>8000</v>
      </c>
      <c r="GC82" s="3">
        <f t="shared" si="180"/>
        <v>16000</v>
      </c>
      <c r="GD82" s="3" t="s">
        <v>139</v>
      </c>
      <c r="GE82" s="3">
        <v>8</v>
      </c>
      <c r="GF82" s="3">
        <v>10000</v>
      </c>
      <c r="GG82" s="3">
        <f t="shared" si="181"/>
        <v>80000</v>
      </c>
      <c r="GH82" s="3" t="s">
        <v>139</v>
      </c>
      <c r="GI82" s="13"/>
      <c r="GJ82" s="13"/>
      <c r="GK82" s="3">
        <f t="shared" si="182"/>
        <v>0</v>
      </c>
      <c r="GL82" s="92">
        <f t="shared" si="183"/>
        <v>336000</v>
      </c>
      <c r="GM82" s="8">
        <f t="shared" si="184"/>
        <v>1764000</v>
      </c>
      <c r="GN82" s="8">
        <f t="shared" si="290"/>
        <v>600</v>
      </c>
      <c r="GO82" s="101">
        <v>3000</v>
      </c>
      <c r="GP82" s="8">
        <f t="shared" si="198"/>
        <v>1800000</v>
      </c>
      <c r="GQ82" s="8">
        <f t="shared" si="186"/>
        <v>4500000</v>
      </c>
      <c r="GR82" s="8">
        <f>GP82-GM82</f>
        <v>36000</v>
      </c>
      <c r="GS82" s="8">
        <f t="shared" si="188"/>
        <v>2736000</v>
      </c>
      <c r="GT82" s="15" t="s">
        <v>1824</v>
      </c>
      <c r="GU82" s="47" t="s">
        <v>1308</v>
      </c>
    </row>
    <row r="83" spans="1:280" s="53" customFormat="1" ht="158.25" customHeight="1">
      <c r="A83" s="44">
        <v>84</v>
      </c>
      <c r="B83" s="23" t="s">
        <v>845</v>
      </c>
      <c r="C83" s="15" t="s">
        <v>1328</v>
      </c>
      <c r="D83" s="15" t="s">
        <v>1329</v>
      </c>
      <c r="E83" s="13" t="s">
        <v>846</v>
      </c>
      <c r="F83" s="15" t="s">
        <v>846</v>
      </c>
      <c r="G83" s="15" t="s">
        <v>1330</v>
      </c>
      <c r="H83" s="13" t="s">
        <v>795</v>
      </c>
      <c r="I83" s="15" t="s">
        <v>1331</v>
      </c>
      <c r="J83" s="15" t="s">
        <v>1332</v>
      </c>
      <c r="K83" s="15" t="s">
        <v>1333</v>
      </c>
      <c r="L83" s="15" t="s">
        <v>1334</v>
      </c>
      <c r="M83" s="15" t="s">
        <v>1335</v>
      </c>
      <c r="N83" s="15" t="s">
        <v>1336</v>
      </c>
      <c r="O83" s="15" t="s">
        <v>1337</v>
      </c>
      <c r="P83" s="15" t="s">
        <v>1338</v>
      </c>
      <c r="Q83" s="15" t="s">
        <v>997</v>
      </c>
      <c r="R83" s="15">
        <v>60</v>
      </c>
      <c r="S83" s="55">
        <v>80</v>
      </c>
      <c r="T83" s="15">
        <v>2500</v>
      </c>
      <c r="U83" s="15">
        <v>80</v>
      </c>
      <c r="V83" s="15">
        <v>120</v>
      </c>
      <c r="W83" s="15" t="s">
        <v>1339</v>
      </c>
      <c r="X83" s="15">
        <v>1.1000000000000001</v>
      </c>
      <c r="Y83" s="15">
        <v>2.5</v>
      </c>
      <c r="Z83" s="15" t="s">
        <v>1340</v>
      </c>
      <c r="AA83" s="15" t="s">
        <v>1341</v>
      </c>
      <c r="AB83" s="15" t="s">
        <v>1342</v>
      </c>
      <c r="AC83" s="3">
        <v>50000</v>
      </c>
      <c r="AD83" s="15"/>
      <c r="AE83" s="15">
        <v>5</v>
      </c>
      <c r="AF83" s="3">
        <v>80000</v>
      </c>
      <c r="AG83" s="3">
        <f t="shared" si="211"/>
        <v>400000</v>
      </c>
      <c r="AH83" s="15" t="s">
        <v>2018</v>
      </c>
      <c r="AI83" s="13">
        <v>100</v>
      </c>
      <c r="AJ83" s="15">
        <v>1000</v>
      </c>
      <c r="AK83" s="56">
        <v>75</v>
      </c>
      <c r="AL83" s="15">
        <v>6000</v>
      </c>
      <c r="AM83" s="15">
        <v>50</v>
      </c>
      <c r="AN83" s="15">
        <v>3000</v>
      </c>
      <c r="AO83" s="42"/>
      <c r="AP83" s="15">
        <v>6000</v>
      </c>
      <c r="AQ83" s="2">
        <f t="shared" si="199"/>
        <v>700000</v>
      </c>
      <c r="AR83" s="15" t="s">
        <v>1344</v>
      </c>
      <c r="AS83" s="15" t="s">
        <v>1343</v>
      </c>
      <c r="AT83" s="2" t="s">
        <v>139</v>
      </c>
      <c r="AU83" s="36"/>
      <c r="AV83" s="3">
        <v>6000</v>
      </c>
      <c r="AW83" s="2">
        <f t="shared" si="134"/>
        <v>0</v>
      </c>
      <c r="AX83" s="3" t="s">
        <v>139</v>
      </c>
      <c r="AY83" s="13"/>
      <c r="AZ83" s="3">
        <v>6000</v>
      </c>
      <c r="BA83" s="3">
        <f t="shared" si="164"/>
        <v>0</v>
      </c>
      <c r="BB83" s="3" t="s">
        <v>139</v>
      </c>
      <c r="BC83" s="34"/>
      <c r="BD83" s="3">
        <v>6000</v>
      </c>
      <c r="BE83" s="3">
        <f t="shared" si="165"/>
        <v>0</v>
      </c>
      <c r="BF83" s="3" t="s">
        <v>125</v>
      </c>
      <c r="BG83" s="3"/>
      <c r="BH83" s="3">
        <v>6000</v>
      </c>
      <c r="BI83" s="3">
        <f t="shared" si="215"/>
        <v>0</v>
      </c>
      <c r="BJ83" s="13" t="s">
        <v>20</v>
      </c>
      <c r="BK83" s="14"/>
      <c r="BL83" s="3">
        <v>1000</v>
      </c>
      <c r="BM83" s="3">
        <f t="shared" si="258"/>
        <v>0</v>
      </c>
      <c r="BN83" s="13" t="s">
        <v>20</v>
      </c>
      <c r="BO83" s="13"/>
      <c r="BP83" s="2">
        <v>3000</v>
      </c>
      <c r="BQ83" s="13"/>
      <c r="BR83" s="2" t="s">
        <v>126</v>
      </c>
      <c r="BS83" s="13"/>
      <c r="BT83" s="2">
        <f>6000</f>
        <v>6000</v>
      </c>
      <c r="BU83" s="3">
        <f t="shared" si="256"/>
        <v>0</v>
      </c>
      <c r="BV83" s="13"/>
      <c r="BW83" s="13"/>
      <c r="BX83" s="13"/>
      <c r="BY83" s="3">
        <f t="shared" si="136"/>
        <v>0</v>
      </c>
      <c r="BZ83" s="13"/>
      <c r="CA83" s="2" t="s">
        <v>139</v>
      </c>
      <c r="CB83" s="3">
        <v>5</v>
      </c>
      <c r="CC83" s="3">
        <v>8000</v>
      </c>
      <c r="CD83" s="3">
        <f t="shared" si="200"/>
        <v>40000</v>
      </c>
      <c r="CE83" s="2" t="s">
        <v>139</v>
      </c>
      <c r="CF83" s="2">
        <v>30</v>
      </c>
      <c r="CG83" s="2">
        <v>6000</v>
      </c>
      <c r="CH83" s="3">
        <f t="shared" si="201"/>
        <v>180000</v>
      </c>
      <c r="CI83" s="3" t="s">
        <v>139</v>
      </c>
      <c r="CJ83" s="3">
        <v>1</v>
      </c>
      <c r="CK83" s="13"/>
      <c r="CL83" s="3">
        <f t="shared" si="166"/>
        <v>0</v>
      </c>
      <c r="CM83" s="5">
        <f t="shared" si="167"/>
        <v>220000</v>
      </c>
      <c r="CN83" s="3" t="s">
        <v>125</v>
      </c>
      <c r="CO83" s="3">
        <v>0</v>
      </c>
      <c r="CP83" s="3">
        <v>6000</v>
      </c>
      <c r="CQ83" s="3">
        <f t="shared" si="154"/>
        <v>0</v>
      </c>
      <c r="CR83" s="3" t="s">
        <v>125</v>
      </c>
      <c r="CS83" s="3">
        <v>50</v>
      </c>
      <c r="CT83" s="3">
        <v>6000</v>
      </c>
      <c r="CU83" s="3">
        <f t="shared" si="155"/>
        <v>300000</v>
      </c>
      <c r="CV83" s="3" t="s">
        <v>125</v>
      </c>
      <c r="CW83" s="3">
        <v>20</v>
      </c>
      <c r="CX83" s="3">
        <v>6000</v>
      </c>
      <c r="CY83" s="3">
        <f t="shared" si="219"/>
        <v>120000</v>
      </c>
      <c r="CZ83" s="3" t="s">
        <v>125</v>
      </c>
      <c r="DA83" s="3">
        <v>10</v>
      </c>
      <c r="DB83" s="3">
        <v>6000</v>
      </c>
      <c r="DC83" s="3">
        <f t="shared" si="220"/>
        <v>60000</v>
      </c>
      <c r="DD83" s="3" t="s">
        <v>125</v>
      </c>
      <c r="DE83" s="3">
        <v>2</v>
      </c>
      <c r="DF83" s="3">
        <v>6000</v>
      </c>
      <c r="DG83" s="3">
        <f t="shared" si="301"/>
        <v>12000</v>
      </c>
      <c r="DH83" s="3" t="s">
        <v>125</v>
      </c>
      <c r="DI83" s="3">
        <v>20</v>
      </c>
      <c r="DJ83" s="3">
        <v>6000</v>
      </c>
      <c r="DK83" s="3">
        <f t="shared" si="158"/>
        <v>120000</v>
      </c>
      <c r="DL83" s="3" t="s">
        <v>125</v>
      </c>
      <c r="DM83" s="3"/>
      <c r="DN83" s="3">
        <v>6000</v>
      </c>
      <c r="DO83" s="3">
        <f t="shared" si="159"/>
        <v>0</v>
      </c>
      <c r="DP83" s="3" t="s">
        <v>125</v>
      </c>
      <c r="DQ83" s="3"/>
      <c r="DR83" s="3">
        <v>6000</v>
      </c>
      <c r="DS83" s="3">
        <f t="shared" si="213"/>
        <v>0</v>
      </c>
      <c r="DT83" s="6">
        <f t="shared" si="214"/>
        <v>612000</v>
      </c>
      <c r="DU83" s="2" t="s">
        <v>157</v>
      </c>
      <c r="DV83" s="3">
        <f t="shared" si="189"/>
        <v>60</v>
      </c>
      <c r="DW83" s="3">
        <f t="shared" si="190"/>
        <v>2500</v>
      </c>
      <c r="DX83" s="3">
        <f t="shared" si="168"/>
        <v>150000</v>
      </c>
      <c r="DY83" s="3" t="s">
        <v>127</v>
      </c>
      <c r="DZ83" s="3">
        <f t="shared" si="191"/>
        <v>0</v>
      </c>
      <c r="EA83" s="2">
        <v>50000</v>
      </c>
      <c r="EB83" s="3">
        <f t="shared" si="169"/>
        <v>0</v>
      </c>
      <c r="EC83" s="2" t="s">
        <v>127</v>
      </c>
      <c r="ED83" s="3">
        <f t="shared" si="192"/>
        <v>5</v>
      </c>
      <c r="EE83" s="3">
        <v>80000</v>
      </c>
      <c r="EF83" s="3">
        <f t="shared" si="170"/>
        <v>400000</v>
      </c>
      <c r="EG83" s="2" t="s">
        <v>157</v>
      </c>
      <c r="EH83" s="3">
        <f t="shared" si="193"/>
        <v>75</v>
      </c>
      <c r="EI83" s="3">
        <v>6000</v>
      </c>
      <c r="EJ83" s="7">
        <f t="shared" si="124"/>
        <v>450000</v>
      </c>
      <c r="EK83" s="2" t="s">
        <v>157</v>
      </c>
      <c r="EL83" s="13">
        <f t="shared" si="149"/>
        <v>50</v>
      </c>
      <c r="EM83" s="3">
        <v>3000</v>
      </c>
      <c r="EN83" s="3">
        <f t="shared" si="171"/>
        <v>150000</v>
      </c>
      <c r="EO83" s="3" t="s">
        <v>126</v>
      </c>
      <c r="EP83" s="3">
        <f t="shared" si="194"/>
        <v>100</v>
      </c>
      <c r="EQ83" s="3">
        <v>1000</v>
      </c>
      <c r="ER83" s="7">
        <f t="shared" si="195"/>
        <v>100000</v>
      </c>
      <c r="ES83" s="3" t="s">
        <v>124</v>
      </c>
      <c r="ET83" s="2">
        <v>1</v>
      </c>
      <c r="EU83" s="3">
        <v>60000</v>
      </c>
      <c r="EV83" s="3">
        <f t="shared" si="172"/>
        <v>60000</v>
      </c>
      <c r="EW83" s="3" t="s">
        <v>124</v>
      </c>
      <c r="EX83" s="13"/>
      <c r="EY83" s="3">
        <v>60000</v>
      </c>
      <c r="EZ83" s="3">
        <f t="shared" si="173"/>
        <v>0</v>
      </c>
      <c r="FA83" s="3" t="s">
        <v>170</v>
      </c>
      <c r="FB83" s="14"/>
      <c r="FC83" s="3">
        <v>1000</v>
      </c>
      <c r="FD83" s="3">
        <f t="shared" si="174"/>
        <v>0</v>
      </c>
      <c r="FE83" s="3" t="s">
        <v>126</v>
      </c>
      <c r="FF83" s="3">
        <f t="shared" si="196"/>
        <v>0</v>
      </c>
      <c r="FG83" s="3">
        <v>6000</v>
      </c>
      <c r="FH83" s="3">
        <f t="shared" si="175"/>
        <v>0</v>
      </c>
      <c r="FI83" s="1">
        <f t="shared" si="176"/>
        <v>1310000</v>
      </c>
      <c r="FJ83" s="3" t="s">
        <v>139</v>
      </c>
      <c r="FK83" s="2">
        <v>40</v>
      </c>
      <c r="FL83" s="2">
        <v>6000</v>
      </c>
      <c r="FM83" s="3">
        <f t="shared" si="177"/>
        <v>240000</v>
      </c>
      <c r="FN83" s="3" t="s">
        <v>139</v>
      </c>
      <c r="FO83" s="2"/>
      <c r="FP83" s="3">
        <v>6000</v>
      </c>
      <c r="FQ83" s="3">
        <f t="shared" si="197"/>
        <v>0</v>
      </c>
      <c r="FR83" s="3" t="s">
        <v>139</v>
      </c>
      <c r="FS83" s="13"/>
      <c r="FT83" s="15">
        <v>6000</v>
      </c>
      <c r="FU83" s="3">
        <f t="shared" si="178"/>
        <v>0</v>
      </c>
      <c r="FV83" s="3" t="s">
        <v>139</v>
      </c>
      <c r="FW83" s="14"/>
      <c r="FX83" s="3">
        <v>8000</v>
      </c>
      <c r="FY83" s="3">
        <f t="shared" si="179"/>
        <v>0</v>
      </c>
      <c r="FZ83" s="3" t="s">
        <v>139</v>
      </c>
      <c r="GA83" s="3">
        <v>2</v>
      </c>
      <c r="GB83" s="3">
        <v>8000</v>
      </c>
      <c r="GC83" s="3">
        <f t="shared" si="180"/>
        <v>16000</v>
      </c>
      <c r="GD83" s="3" t="s">
        <v>139</v>
      </c>
      <c r="GE83" s="3">
        <v>10</v>
      </c>
      <c r="GF83" s="3">
        <v>10000</v>
      </c>
      <c r="GG83" s="3">
        <f t="shared" si="181"/>
        <v>100000</v>
      </c>
      <c r="GH83" s="3" t="s">
        <v>139</v>
      </c>
      <c r="GI83" s="13"/>
      <c r="GJ83" s="13"/>
      <c r="GK83" s="3">
        <f t="shared" si="182"/>
        <v>0</v>
      </c>
      <c r="GL83" s="92">
        <f t="shared" si="183"/>
        <v>356000</v>
      </c>
      <c r="GM83" s="8">
        <f t="shared" si="184"/>
        <v>2498000</v>
      </c>
      <c r="GN83" s="8">
        <f t="shared" si="290"/>
        <v>1100</v>
      </c>
      <c r="GO83" s="101">
        <v>3000</v>
      </c>
      <c r="GP83" s="8">
        <f t="shared" si="198"/>
        <v>3300000</v>
      </c>
      <c r="GQ83" s="8">
        <f t="shared" si="186"/>
        <v>7500000</v>
      </c>
      <c r="GR83" s="8">
        <f t="shared" si="187"/>
        <v>802000</v>
      </c>
      <c r="GS83" s="8">
        <f t="shared" si="188"/>
        <v>5002000</v>
      </c>
      <c r="GT83" s="15" t="s">
        <v>1825</v>
      </c>
      <c r="GU83" s="47" t="s">
        <v>1826</v>
      </c>
    </row>
    <row r="84" spans="1:280" s="53" customFormat="1" ht="158.25" customHeight="1">
      <c r="A84" s="44">
        <v>85</v>
      </c>
      <c r="B84" s="23" t="s">
        <v>847</v>
      </c>
      <c r="C84" s="13" t="s">
        <v>848</v>
      </c>
      <c r="D84" s="15" t="s">
        <v>1309</v>
      </c>
      <c r="E84" s="15" t="s">
        <v>1310</v>
      </c>
      <c r="F84" s="15" t="s">
        <v>1310</v>
      </c>
      <c r="G84" s="13" t="s">
        <v>1311</v>
      </c>
      <c r="H84" s="13" t="s">
        <v>315</v>
      </c>
      <c r="I84" s="15" t="s">
        <v>1312</v>
      </c>
      <c r="J84" s="15" t="s">
        <v>1313</v>
      </c>
      <c r="K84" s="15" t="s">
        <v>1314</v>
      </c>
      <c r="L84" s="15" t="s">
        <v>1315</v>
      </c>
      <c r="M84" s="15" t="s">
        <v>1316</v>
      </c>
      <c r="N84" s="13" t="s">
        <v>1317</v>
      </c>
      <c r="O84" s="15" t="s">
        <v>1318</v>
      </c>
      <c r="P84" s="15" t="s">
        <v>1320</v>
      </c>
      <c r="Q84" s="15" t="s">
        <v>1319</v>
      </c>
      <c r="R84" s="15">
        <v>30000</v>
      </c>
      <c r="S84" s="15">
        <v>50000</v>
      </c>
      <c r="T84" s="15">
        <v>100</v>
      </c>
      <c r="U84" s="15">
        <v>120</v>
      </c>
      <c r="V84" s="15">
        <v>180</v>
      </c>
      <c r="W84" s="15" t="s">
        <v>1321</v>
      </c>
      <c r="X84" s="15">
        <v>15</v>
      </c>
      <c r="Y84" s="15">
        <v>25</v>
      </c>
      <c r="Z84" s="15" t="s">
        <v>1322</v>
      </c>
      <c r="AA84" s="15" t="s">
        <v>1323</v>
      </c>
      <c r="AB84" s="15" t="s">
        <v>1324</v>
      </c>
      <c r="AC84" s="3">
        <v>50000</v>
      </c>
      <c r="AD84" s="15"/>
      <c r="AE84" s="15">
        <v>5</v>
      </c>
      <c r="AF84" s="3">
        <v>80000</v>
      </c>
      <c r="AG84" s="3">
        <f t="shared" si="211"/>
        <v>400000</v>
      </c>
      <c r="AH84" s="15" t="s">
        <v>1325</v>
      </c>
      <c r="AI84" s="13">
        <v>200</v>
      </c>
      <c r="AJ84" s="15">
        <v>1000</v>
      </c>
      <c r="AK84" s="56">
        <v>100</v>
      </c>
      <c r="AL84" s="15">
        <v>6000</v>
      </c>
      <c r="AM84" s="15">
        <v>50</v>
      </c>
      <c r="AN84" s="15">
        <v>3000</v>
      </c>
      <c r="AO84" s="42"/>
      <c r="AP84" s="15">
        <v>6000</v>
      </c>
      <c r="AQ84" s="2">
        <f t="shared" si="199"/>
        <v>950000</v>
      </c>
      <c r="AR84" s="15" t="s">
        <v>1326</v>
      </c>
      <c r="AS84" s="15" t="s">
        <v>1327</v>
      </c>
      <c r="AT84" s="2" t="s">
        <v>139</v>
      </c>
      <c r="AU84" s="36"/>
      <c r="AV84" s="3">
        <v>6000</v>
      </c>
      <c r="AW84" s="2">
        <f t="shared" si="134"/>
        <v>0</v>
      </c>
      <c r="AX84" s="3" t="s">
        <v>139</v>
      </c>
      <c r="AY84" s="13"/>
      <c r="AZ84" s="3">
        <v>6000</v>
      </c>
      <c r="BA84" s="3">
        <f t="shared" si="164"/>
        <v>0</v>
      </c>
      <c r="BB84" s="3" t="s">
        <v>139</v>
      </c>
      <c r="BC84" s="34"/>
      <c r="BD84" s="3">
        <v>6000</v>
      </c>
      <c r="BE84" s="3">
        <f t="shared" si="165"/>
        <v>0</v>
      </c>
      <c r="BF84" s="3" t="s">
        <v>125</v>
      </c>
      <c r="BG84" s="3"/>
      <c r="BH84" s="3">
        <v>6000</v>
      </c>
      <c r="BI84" s="3">
        <f t="shared" si="215"/>
        <v>0</v>
      </c>
      <c r="BJ84" s="13" t="s">
        <v>20</v>
      </c>
      <c r="BK84" s="14"/>
      <c r="BL84" s="3">
        <v>1000</v>
      </c>
      <c r="BM84" s="3">
        <f t="shared" si="258"/>
        <v>0</v>
      </c>
      <c r="BN84" s="13" t="s">
        <v>20</v>
      </c>
      <c r="BO84" s="13"/>
      <c r="BP84" s="2">
        <v>3000</v>
      </c>
      <c r="BQ84" s="13"/>
      <c r="BR84" s="2" t="s">
        <v>126</v>
      </c>
      <c r="BS84" s="13"/>
      <c r="BT84" s="2">
        <f>6000</f>
        <v>6000</v>
      </c>
      <c r="BU84" s="3">
        <f t="shared" si="256"/>
        <v>0</v>
      </c>
      <c r="BV84" s="13"/>
      <c r="BW84" s="13"/>
      <c r="BX84" s="13"/>
      <c r="BY84" s="3">
        <f t="shared" si="136"/>
        <v>0</v>
      </c>
      <c r="BZ84" s="13"/>
      <c r="CA84" s="2" t="s">
        <v>139</v>
      </c>
      <c r="CB84" s="3">
        <v>5</v>
      </c>
      <c r="CC84" s="3">
        <v>8000</v>
      </c>
      <c r="CD84" s="3">
        <f t="shared" si="200"/>
        <v>40000</v>
      </c>
      <c r="CE84" s="2" t="s">
        <v>139</v>
      </c>
      <c r="CF84" s="2">
        <v>30</v>
      </c>
      <c r="CG84" s="2">
        <v>6000</v>
      </c>
      <c r="CH84" s="3">
        <f t="shared" si="201"/>
        <v>180000</v>
      </c>
      <c r="CI84" s="3" t="s">
        <v>139</v>
      </c>
      <c r="CJ84" s="3">
        <v>1</v>
      </c>
      <c r="CK84" s="13"/>
      <c r="CL84" s="3">
        <f t="shared" si="166"/>
        <v>0</v>
      </c>
      <c r="CM84" s="5">
        <f t="shared" si="167"/>
        <v>220000</v>
      </c>
      <c r="CN84" s="3" t="s">
        <v>125</v>
      </c>
      <c r="CO84" s="3">
        <v>0</v>
      </c>
      <c r="CP84" s="3">
        <v>6000</v>
      </c>
      <c r="CQ84" s="3">
        <f t="shared" si="154"/>
        <v>0</v>
      </c>
      <c r="CR84" s="3" t="s">
        <v>125</v>
      </c>
      <c r="CS84" s="3">
        <v>75</v>
      </c>
      <c r="CT84" s="3">
        <v>6000</v>
      </c>
      <c r="CU84" s="3">
        <f t="shared" si="155"/>
        <v>450000</v>
      </c>
      <c r="CV84" s="3" t="s">
        <v>125</v>
      </c>
      <c r="CW84" s="3">
        <v>30</v>
      </c>
      <c r="CX84" s="3">
        <v>6000</v>
      </c>
      <c r="CY84" s="3">
        <f t="shared" si="219"/>
        <v>180000</v>
      </c>
      <c r="CZ84" s="3" t="s">
        <v>125</v>
      </c>
      <c r="DA84" s="3">
        <v>15</v>
      </c>
      <c r="DB84" s="3">
        <v>6000</v>
      </c>
      <c r="DC84" s="3">
        <f t="shared" si="220"/>
        <v>90000</v>
      </c>
      <c r="DD84" s="3" t="s">
        <v>125</v>
      </c>
      <c r="DE84" s="3">
        <v>5</v>
      </c>
      <c r="DF84" s="3">
        <v>6000</v>
      </c>
      <c r="DG84" s="3">
        <f t="shared" si="301"/>
        <v>30000</v>
      </c>
      <c r="DH84" s="3" t="s">
        <v>125</v>
      </c>
      <c r="DI84" s="3">
        <v>75</v>
      </c>
      <c r="DJ84" s="3">
        <v>6000</v>
      </c>
      <c r="DK84" s="3">
        <f t="shared" si="158"/>
        <v>450000</v>
      </c>
      <c r="DL84" s="3" t="s">
        <v>125</v>
      </c>
      <c r="DM84" s="3"/>
      <c r="DN84" s="3">
        <v>6000</v>
      </c>
      <c r="DO84" s="3">
        <f t="shared" si="159"/>
        <v>0</v>
      </c>
      <c r="DP84" s="3" t="s">
        <v>125</v>
      </c>
      <c r="DQ84" s="3"/>
      <c r="DR84" s="3">
        <v>6000</v>
      </c>
      <c r="DS84" s="3">
        <f t="shared" si="213"/>
        <v>0</v>
      </c>
      <c r="DT84" s="6">
        <f t="shared" si="214"/>
        <v>1200000</v>
      </c>
      <c r="DU84" s="2" t="s">
        <v>157</v>
      </c>
      <c r="DV84" s="3">
        <f t="shared" si="189"/>
        <v>30000</v>
      </c>
      <c r="DW84" s="3">
        <f t="shared" si="190"/>
        <v>100</v>
      </c>
      <c r="DX84" s="3">
        <f t="shared" si="168"/>
        <v>3000000</v>
      </c>
      <c r="DY84" s="3" t="s">
        <v>127</v>
      </c>
      <c r="DZ84" s="3">
        <f t="shared" si="191"/>
        <v>0</v>
      </c>
      <c r="EA84" s="2">
        <v>50000</v>
      </c>
      <c r="EB84" s="3">
        <f t="shared" si="169"/>
        <v>0</v>
      </c>
      <c r="EC84" s="2" t="s">
        <v>127</v>
      </c>
      <c r="ED84" s="3">
        <f t="shared" si="192"/>
        <v>5</v>
      </c>
      <c r="EE84" s="3">
        <v>80000</v>
      </c>
      <c r="EF84" s="3">
        <f t="shared" si="170"/>
        <v>400000</v>
      </c>
      <c r="EG84" s="2" t="s">
        <v>157</v>
      </c>
      <c r="EH84" s="3">
        <f t="shared" si="193"/>
        <v>100</v>
      </c>
      <c r="EI84" s="3">
        <v>6000</v>
      </c>
      <c r="EJ84" s="7">
        <f t="shared" si="124"/>
        <v>600000</v>
      </c>
      <c r="EK84" s="2" t="s">
        <v>157</v>
      </c>
      <c r="EL84" s="13">
        <f t="shared" si="149"/>
        <v>50</v>
      </c>
      <c r="EM84" s="3">
        <v>3000</v>
      </c>
      <c r="EN84" s="3">
        <f t="shared" si="171"/>
        <v>150000</v>
      </c>
      <c r="EO84" s="3" t="s">
        <v>126</v>
      </c>
      <c r="EP84" s="3">
        <f t="shared" si="194"/>
        <v>200</v>
      </c>
      <c r="EQ84" s="3">
        <v>1000</v>
      </c>
      <c r="ER84" s="7">
        <f t="shared" si="195"/>
        <v>200000</v>
      </c>
      <c r="ES84" s="3" t="s">
        <v>124</v>
      </c>
      <c r="ET84" s="2">
        <v>1</v>
      </c>
      <c r="EU84" s="3">
        <v>60000</v>
      </c>
      <c r="EV84" s="3">
        <f t="shared" si="172"/>
        <v>60000</v>
      </c>
      <c r="EW84" s="3" t="s">
        <v>124</v>
      </c>
      <c r="EX84" s="13"/>
      <c r="EY84" s="3">
        <v>60000</v>
      </c>
      <c r="EZ84" s="3">
        <f t="shared" si="173"/>
        <v>0</v>
      </c>
      <c r="FA84" s="3" t="s">
        <v>170</v>
      </c>
      <c r="FB84" s="14"/>
      <c r="FC84" s="3">
        <v>1000</v>
      </c>
      <c r="FD84" s="3">
        <f t="shared" si="174"/>
        <v>0</v>
      </c>
      <c r="FE84" s="3" t="s">
        <v>126</v>
      </c>
      <c r="FF84" s="3">
        <f t="shared" si="196"/>
        <v>0</v>
      </c>
      <c r="FG84" s="3">
        <v>6000</v>
      </c>
      <c r="FH84" s="3">
        <f t="shared" si="175"/>
        <v>0</v>
      </c>
      <c r="FI84" s="1">
        <f t="shared" si="176"/>
        <v>4410000</v>
      </c>
      <c r="FJ84" s="3" t="s">
        <v>139</v>
      </c>
      <c r="FK84" s="2">
        <v>40</v>
      </c>
      <c r="FL84" s="2">
        <v>6000</v>
      </c>
      <c r="FM84" s="3">
        <f t="shared" si="177"/>
        <v>240000</v>
      </c>
      <c r="FN84" s="3" t="s">
        <v>139</v>
      </c>
      <c r="FO84" s="2"/>
      <c r="FP84" s="3">
        <v>6000</v>
      </c>
      <c r="FQ84" s="3">
        <f t="shared" si="197"/>
        <v>0</v>
      </c>
      <c r="FR84" s="3" t="s">
        <v>139</v>
      </c>
      <c r="FS84" s="13"/>
      <c r="FT84" s="15">
        <v>6000</v>
      </c>
      <c r="FU84" s="3">
        <f t="shared" si="178"/>
        <v>0</v>
      </c>
      <c r="FV84" s="3" t="s">
        <v>139</v>
      </c>
      <c r="FW84" s="14"/>
      <c r="FX84" s="3">
        <v>8000</v>
      </c>
      <c r="FY84" s="3">
        <f t="shared" si="179"/>
        <v>0</v>
      </c>
      <c r="FZ84" s="3" t="s">
        <v>139</v>
      </c>
      <c r="GA84" s="3">
        <v>2</v>
      </c>
      <c r="GB84" s="3">
        <v>8000</v>
      </c>
      <c r="GC84" s="3">
        <f t="shared" si="180"/>
        <v>16000</v>
      </c>
      <c r="GD84" s="3" t="s">
        <v>139</v>
      </c>
      <c r="GE84" s="3">
        <v>10</v>
      </c>
      <c r="GF84" s="3">
        <v>10000</v>
      </c>
      <c r="GG84" s="3">
        <f t="shared" si="181"/>
        <v>100000</v>
      </c>
      <c r="GH84" s="3" t="s">
        <v>139</v>
      </c>
      <c r="GI84" s="13"/>
      <c r="GJ84" s="13"/>
      <c r="GK84" s="3">
        <f t="shared" si="182"/>
        <v>0</v>
      </c>
      <c r="GL84" s="92">
        <f t="shared" si="183"/>
        <v>356000</v>
      </c>
      <c r="GM84" s="8">
        <f t="shared" si="184"/>
        <v>6186000</v>
      </c>
      <c r="GN84" s="8">
        <f t="shared" si="290"/>
        <v>15000</v>
      </c>
      <c r="GO84" s="101">
        <v>700</v>
      </c>
      <c r="GP84" s="8">
        <f t="shared" si="198"/>
        <v>10500000</v>
      </c>
      <c r="GQ84" s="8">
        <f t="shared" si="186"/>
        <v>17500000</v>
      </c>
      <c r="GR84" s="8">
        <f t="shared" si="187"/>
        <v>4314000</v>
      </c>
      <c r="GS84" s="8">
        <f t="shared" si="188"/>
        <v>11314000</v>
      </c>
      <c r="GT84" s="15" t="s">
        <v>1828</v>
      </c>
      <c r="GU84" s="47" t="s">
        <v>1827</v>
      </c>
    </row>
    <row r="85" spans="1:280" s="53" customFormat="1" ht="158.25" customHeight="1">
      <c r="A85" s="44">
        <v>86</v>
      </c>
      <c r="B85" s="23" t="s">
        <v>849</v>
      </c>
      <c r="C85" s="13" t="s">
        <v>850</v>
      </c>
      <c r="D85" s="15" t="s">
        <v>1345</v>
      </c>
      <c r="E85" s="13" t="s">
        <v>1346</v>
      </c>
      <c r="F85" s="13" t="s">
        <v>1346</v>
      </c>
      <c r="G85" s="13" t="s">
        <v>1347</v>
      </c>
      <c r="H85" s="13" t="s">
        <v>1348</v>
      </c>
      <c r="I85" s="15" t="s">
        <v>1349</v>
      </c>
      <c r="J85" s="13" t="s">
        <v>1350</v>
      </c>
      <c r="K85" s="15" t="s">
        <v>1351</v>
      </c>
      <c r="L85" s="13" t="s">
        <v>1352</v>
      </c>
      <c r="M85" s="15" t="s">
        <v>1353</v>
      </c>
      <c r="N85" s="13" t="s">
        <v>851</v>
      </c>
      <c r="O85" s="15" t="s">
        <v>1354</v>
      </c>
      <c r="P85" s="15" t="s">
        <v>1355</v>
      </c>
      <c r="Q85" s="15" t="s">
        <v>1356</v>
      </c>
      <c r="R85" s="15">
        <v>7000</v>
      </c>
      <c r="S85" s="55">
        <v>10000</v>
      </c>
      <c r="T85" s="15">
        <v>100</v>
      </c>
      <c r="U85" s="15">
        <v>300</v>
      </c>
      <c r="V85" s="15">
        <v>540</v>
      </c>
      <c r="W85" s="15" t="s">
        <v>1357</v>
      </c>
      <c r="X85" s="15">
        <v>40</v>
      </c>
      <c r="Y85" s="15">
        <v>80</v>
      </c>
      <c r="Z85" s="15" t="s">
        <v>1357</v>
      </c>
      <c r="AA85" s="15" t="s">
        <v>1358</v>
      </c>
      <c r="AB85" s="15" t="s">
        <v>1359</v>
      </c>
      <c r="AC85" s="3">
        <v>50000</v>
      </c>
      <c r="AD85" s="15">
        <v>10</v>
      </c>
      <c r="AE85" s="15"/>
      <c r="AF85" s="3">
        <v>80000</v>
      </c>
      <c r="AG85" s="3">
        <f t="shared" si="211"/>
        <v>500000</v>
      </c>
      <c r="AH85" s="15" t="s">
        <v>1360</v>
      </c>
      <c r="AI85" s="13"/>
      <c r="AJ85" s="15">
        <v>1000</v>
      </c>
      <c r="AK85" s="56">
        <v>200</v>
      </c>
      <c r="AL85" s="15">
        <v>6000</v>
      </c>
      <c r="AM85" s="15">
        <v>100</v>
      </c>
      <c r="AN85" s="15">
        <v>3000</v>
      </c>
      <c r="AO85" s="42"/>
      <c r="AP85" s="15">
        <v>6000</v>
      </c>
      <c r="AQ85" s="2">
        <f t="shared" si="199"/>
        <v>1500000</v>
      </c>
      <c r="AR85" s="15" t="s">
        <v>1382</v>
      </c>
      <c r="AS85" s="56" t="s">
        <v>1361</v>
      </c>
      <c r="AT85" s="2" t="s">
        <v>139</v>
      </c>
      <c r="AU85" s="36"/>
      <c r="AV85" s="3">
        <v>6000</v>
      </c>
      <c r="AW85" s="2">
        <f t="shared" si="134"/>
        <v>0</v>
      </c>
      <c r="AX85" s="3" t="s">
        <v>139</v>
      </c>
      <c r="AY85" s="13"/>
      <c r="AZ85" s="3">
        <v>6000</v>
      </c>
      <c r="BA85" s="3">
        <f t="shared" si="164"/>
        <v>0</v>
      </c>
      <c r="BB85" s="3" t="s">
        <v>139</v>
      </c>
      <c r="BC85" s="34"/>
      <c r="BD85" s="3">
        <v>6000</v>
      </c>
      <c r="BE85" s="3">
        <f t="shared" si="165"/>
        <v>0</v>
      </c>
      <c r="BF85" s="3" t="s">
        <v>125</v>
      </c>
      <c r="BG85" s="3"/>
      <c r="BH85" s="3">
        <v>6000</v>
      </c>
      <c r="BI85" s="3">
        <f t="shared" si="215"/>
        <v>0</v>
      </c>
      <c r="BJ85" s="13" t="s">
        <v>20</v>
      </c>
      <c r="BK85" s="14"/>
      <c r="BL85" s="3">
        <v>1000</v>
      </c>
      <c r="BM85" s="3">
        <f t="shared" si="258"/>
        <v>0</v>
      </c>
      <c r="BN85" s="13" t="s">
        <v>20</v>
      </c>
      <c r="BO85" s="13"/>
      <c r="BP85" s="2">
        <v>3000</v>
      </c>
      <c r="BQ85" s="13"/>
      <c r="BR85" s="2" t="s">
        <v>126</v>
      </c>
      <c r="BS85" s="13"/>
      <c r="BT85" s="2">
        <f>6000</f>
        <v>6000</v>
      </c>
      <c r="BU85" s="3">
        <f t="shared" si="256"/>
        <v>0</v>
      </c>
      <c r="BV85" s="13"/>
      <c r="BW85" s="13"/>
      <c r="BX85" s="13"/>
      <c r="BY85" s="3">
        <f t="shared" si="136"/>
        <v>0</v>
      </c>
      <c r="BZ85" s="13"/>
      <c r="CA85" s="2" t="s">
        <v>139</v>
      </c>
      <c r="CB85" s="3">
        <v>5</v>
      </c>
      <c r="CC85" s="3">
        <v>8000</v>
      </c>
      <c r="CD85" s="3">
        <f t="shared" si="200"/>
        <v>40000</v>
      </c>
      <c r="CE85" s="2" t="s">
        <v>139</v>
      </c>
      <c r="CF85" s="2">
        <v>30</v>
      </c>
      <c r="CG85" s="2">
        <v>6000</v>
      </c>
      <c r="CH85" s="3">
        <f t="shared" si="201"/>
        <v>180000</v>
      </c>
      <c r="CI85" s="3" t="s">
        <v>139</v>
      </c>
      <c r="CJ85" s="3">
        <v>1</v>
      </c>
      <c r="CK85" s="13"/>
      <c r="CL85" s="3">
        <f t="shared" si="166"/>
        <v>0</v>
      </c>
      <c r="CM85" s="5">
        <f t="shared" si="167"/>
        <v>220000</v>
      </c>
      <c r="CN85" s="3" t="s">
        <v>125</v>
      </c>
      <c r="CO85" s="3">
        <v>0</v>
      </c>
      <c r="CP85" s="3">
        <v>6000</v>
      </c>
      <c r="CQ85" s="3">
        <f t="shared" si="154"/>
        <v>0</v>
      </c>
      <c r="CR85" s="3" t="s">
        <v>125</v>
      </c>
      <c r="CS85" s="3">
        <v>75</v>
      </c>
      <c r="CT85" s="3">
        <v>6000</v>
      </c>
      <c r="CU85" s="3">
        <f t="shared" si="155"/>
        <v>450000</v>
      </c>
      <c r="CV85" s="3" t="s">
        <v>125</v>
      </c>
      <c r="CW85" s="3">
        <v>30</v>
      </c>
      <c r="CX85" s="3">
        <v>6000</v>
      </c>
      <c r="CY85" s="3">
        <f t="shared" si="219"/>
        <v>180000</v>
      </c>
      <c r="CZ85" s="3" t="s">
        <v>125</v>
      </c>
      <c r="DA85" s="3">
        <v>15</v>
      </c>
      <c r="DB85" s="3">
        <v>6000</v>
      </c>
      <c r="DC85" s="3">
        <f t="shared" si="220"/>
        <v>90000</v>
      </c>
      <c r="DD85" s="3" t="s">
        <v>125</v>
      </c>
      <c r="DE85" s="3">
        <v>5</v>
      </c>
      <c r="DF85" s="3">
        <v>6000</v>
      </c>
      <c r="DG85" s="3">
        <f t="shared" si="301"/>
        <v>30000</v>
      </c>
      <c r="DH85" s="3" t="s">
        <v>125</v>
      </c>
      <c r="DI85" s="3">
        <v>75</v>
      </c>
      <c r="DJ85" s="3">
        <v>6000</v>
      </c>
      <c r="DK85" s="3">
        <f t="shared" si="158"/>
        <v>450000</v>
      </c>
      <c r="DL85" s="3" t="s">
        <v>125</v>
      </c>
      <c r="DM85" s="3"/>
      <c r="DN85" s="3">
        <v>6000</v>
      </c>
      <c r="DO85" s="3">
        <f t="shared" si="159"/>
        <v>0</v>
      </c>
      <c r="DP85" s="3" t="s">
        <v>125</v>
      </c>
      <c r="DQ85" s="3"/>
      <c r="DR85" s="3">
        <v>6000</v>
      </c>
      <c r="DS85" s="3">
        <f t="shared" si="213"/>
        <v>0</v>
      </c>
      <c r="DT85" s="6">
        <f t="shared" si="214"/>
        <v>1200000</v>
      </c>
      <c r="DU85" s="2" t="s">
        <v>157</v>
      </c>
      <c r="DV85" s="3">
        <f t="shared" si="189"/>
        <v>7000</v>
      </c>
      <c r="DW85" s="3">
        <f t="shared" si="190"/>
        <v>100</v>
      </c>
      <c r="DX85" s="3">
        <f t="shared" si="168"/>
        <v>700000</v>
      </c>
      <c r="DY85" s="3" t="s">
        <v>127</v>
      </c>
      <c r="DZ85" s="3">
        <f t="shared" si="191"/>
        <v>10</v>
      </c>
      <c r="EA85" s="2">
        <v>50000</v>
      </c>
      <c r="EB85" s="3">
        <f t="shared" si="169"/>
        <v>500000</v>
      </c>
      <c r="EC85" s="2" t="s">
        <v>127</v>
      </c>
      <c r="ED85" s="3">
        <f t="shared" si="192"/>
        <v>0</v>
      </c>
      <c r="EE85" s="3">
        <v>80000</v>
      </c>
      <c r="EF85" s="3">
        <f t="shared" si="170"/>
        <v>0</v>
      </c>
      <c r="EG85" s="2" t="s">
        <v>157</v>
      </c>
      <c r="EH85" s="3">
        <f t="shared" si="193"/>
        <v>200</v>
      </c>
      <c r="EI85" s="3">
        <v>6000</v>
      </c>
      <c r="EJ85" s="7">
        <f t="shared" si="124"/>
        <v>1200000</v>
      </c>
      <c r="EK85" s="2" t="s">
        <v>157</v>
      </c>
      <c r="EL85" s="13">
        <f t="shared" si="149"/>
        <v>100</v>
      </c>
      <c r="EM85" s="3">
        <v>3000</v>
      </c>
      <c r="EN85" s="3">
        <f t="shared" si="171"/>
        <v>300000</v>
      </c>
      <c r="EO85" s="3" t="s">
        <v>126</v>
      </c>
      <c r="EP85" s="3">
        <f t="shared" si="194"/>
        <v>0</v>
      </c>
      <c r="EQ85" s="3">
        <v>1000</v>
      </c>
      <c r="ER85" s="7">
        <f t="shared" si="195"/>
        <v>0</v>
      </c>
      <c r="ES85" s="3" t="s">
        <v>124</v>
      </c>
      <c r="ET85" s="2">
        <v>1</v>
      </c>
      <c r="EU85" s="3">
        <v>60000</v>
      </c>
      <c r="EV85" s="3">
        <f t="shared" si="172"/>
        <v>60000</v>
      </c>
      <c r="EW85" s="3" t="s">
        <v>124</v>
      </c>
      <c r="EX85" s="13"/>
      <c r="EY85" s="3">
        <v>60000</v>
      </c>
      <c r="EZ85" s="3">
        <f t="shared" si="173"/>
        <v>0</v>
      </c>
      <c r="FA85" s="3" t="s">
        <v>170</v>
      </c>
      <c r="FB85" s="14"/>
      <c r="FC85" s="3">
        <v>1000</v>
      </c>
      <c r="FD85" s="3">
        <f t="shared" si="174"/>
        <v>0</v>
      </c>
      <c r="FE85" s="3" t="s">
        <v>126</v>
      </c>
      <c r="FF85" s="3">
        <f t="shared" si="196"/>
        <v>0</v>
      </c>
      <c r="FG85" s="3">
        <v>6000</v>
      </c>
      <c r="FH85" s="3">
        <f t="shared" si="175"/>
        <v>0</v>
      </c>
      <c r="FI85" s="1">
        <f t="shared" si="176"/>
        <v>2760000</v>
      </c>
      <c r="FJ85" s="3" t="s">
        <v>139</v>
      </c>
      <c r="FK85" s="2">
        <v>40</v>
      </c>
      <c r="FL85" s="2">
        <v>6000</v>
      </c>
      <c r="FM85" s="3">
        <f t="shared" si="177"/>
        <v>240000</v>
      </c>
      <c r="FN85" s="3" t="s">
        <v>139</v>
      </c>
      <c r="FO85" s="2"/>
      <c r="FP85" s="3">
        <v>6000</v>
      </c>
      <c r="FQ85" s="3">
        <f t="shared" si="197"/>
        <v>0</v>
      </c>
      <c r="FR85" s="3" t="s">
        <v>139</v>
      </c>
      <c r="FS85" s="13"/>
      <c r="FT85" s="15">
        <v>6000</v>
      </c>
      <c r="FU85" s="3">
        <f t="shared" si="178"/>
        <v>0</v>
      </c>
      <c r="FV85" s="3" t="s">
        <v>139</v>
      </c>
      <c r="FW85" s="14"/>
      <c r="FX85" s="3">
        <v>8000</v>
      </c>
      <c r="FY85" s="3">
        <f t="shared" si="179"/>
        <v>0</v>
      </c>
      <c r="FZ85" s="3" t="s">
        <v>139</v>
      </c>
      <c r="GA85" s="3">
        <v>2</v>
      </c>
      <c r="GB85" s="3">
        <v>8000</v>
      </c>
      <c r="GC85" s="3">
        <f t="shared" si="180"/>
        <v>16000</v>
      </c>
      <c r="GD85" s="3" t="s">
        <v>139</v>
      </c>
      <c r="GE85" s="3">
        <v>10</v>
      </c>
      <c r="GF85" s="3">
        <v>10000</v>
      </c>
      <c r="GG85" s="3">
        <f t="shared" si="181"/>
        <v>100000</v>
      </c>
      <c r="GH85" s="3" t="s">
        <v>139</v>
      </c>
      <c r="GI85" s="13"/>
      <c r="GJ85" s="13"/>
      <c r="GK85" s="3">
        <f t="shared" si="182"/>
        <v>0</v>
      </c>
      <c r="GL85" s="92">
        <f t="shared" si="183"/>
        <v>356000</v>
      </c>
      <c r="GM85" s="8">
        <f t="shared" si="184"/>
        <v>4536000</v>
      </c>
      <c r="GN85" s="8">
        <f t="shared" si="290"/>
        <v>40000</v>
      </c>
      <c r="GO85" s="101">
        <v>200</v>
      </c>
      <c r="GP85" s="8">
        <f t="shared" si="198"/>
        <v>8000000</v>
      </c>
      <c r="GQ85" s="8">
        <f t="shared" si="186"/>
        <v>16000000</v>
      </c>
      <c r="GR85" s="8">
        <f t="shared" si="187"/>
        <v>3464000</v>
      </c>
      <c r="GS85" s="8">
        <f t="shared" si="188"/>
        <v>11464000</v>
      </c>
      <c r="GT85" s="15" t="s">
        <v>1829</v>
      </c>
      <c r="GU85" s="47" t="s">
        <v>1830</v>
      </c>
    </row>
    <row r="86" spans="1:280" ht="158.25" customHeight="1">
      <c r="A86" s="44">
        <v>87</v>
      </c>
      <c r="B86" s="22" t="s">
        <v>852</v>
      </c>
      <c r="C86" s="14" t="s">
        <v>1362</v>
      </c>
      <c r="D86" s="15" t="s">
        <v>1363</v>
      </c>
      <c r="E86" s="14" t="s">
        <v>1365</v>
      </c>
      <c r="F86" s="15" t="s">
        <v>1364</v>
      </c>
      <c r="G86" s="14" t="s">
        <v>1366</v>
      </c>
      <c r="H86" s="13" t="s">
        <v>1348</v>
      </c>
      <c r="I86" s="15" t="s">
        <v>1367</v>
      </c>
      <c r="J86" s="14" t="s">
        <v>1368</v>
      </c>
      <c r="K86" s="14" t="s">
        <v>1369</v>
      </c>
      <c r="L86" s="14" t="s">
        <v>1370</v>
      </c>
      <c r="M86" s="14" t="s">
        <v>1371</v>
      </c>
      <c r="N86" s="14" t="s">
        <v>1372</v>
      </c>
      <c r="O86" s="15" t="s">
        <v>1373</v>
      </c>
      <c r="P86" s="15" t="s">
        <v>1374</v>
      </c>
      <c r="Q86" s="15" t="s">
        <v>1356</v>
      </c>
      <c r="R86" s="15">
        <v>2000</v>
      </c>
      <c r="S86" s="15">
        <v>2500</v>
      </c>
      <c r="T86" s="17">
        <v>1000</v>
      </c>
      <c r="U86" s="15">
        <v>730</v>
      </c>
      <c r="V86" s="15">
        <v>7300</v>
      </c>
      <c r="W86" s="15" t="s">
        <v>1375</v>
      </c>
      <c r="X86" s="15">
        <v>0.5</v>
      </c>
      <c r="Y86" s="15">
        <v>1</v>
      </c>
      <c r="Z86" s="15" t="s">
        <v>1376</v>
      </c>
      <c r="AA86" s="15" t="s">
        <v>1377</v>
      </c>
      <c r="AB86" s="15" t="s">
        <v>1378</v>
      </c>
      <c r="AC86" s="3">
        <v>50000</v>
      </c>
      <c r="AD86" s="15">
        <v>10</v>
      </c>
      <c r="AE86" s="15"/>
      <c r="AF86" s="3">
        <v>80000</v>
      </c>
      <c r="AG86" s="3">
        <f t="shared" si="211"/>
        <v>500000</v>
      </c>
      <c r="AH86" s="15" t="s">
        <v>1379</v>
      </c>
      <c r="AI86" s="13">
        <v>400</v>
      </c>
      <c r="AJ86" s="15">
        <v>1000</v>
      </c>
      <c r="AK86" s="13">
        <v>300</v>
      </c>
      <c r="AL86" s="15">
        <v>6000</v>
      </c>
      <c r="AM86" s="15"/>
      <c r="AN86" s="15">
        <v>3000</v>
      </c>
      <c r="AO86" s="42"/>
      <c r="AP86" s="15">
        <v>6000</v>
      </c>
      <c r="AQ86" s="2">
        <f t="shared" si="199"/>
        <v>2200000</v>
      </c>
      <c r="AR86" s="15" t="s">
        <v>1381</v>
      </c>
      <c r="AS86" s="15" t="s">
        <v>1380</v>
      </c>
      <c r="AT86" s="2" t="s">
        <v>139</v>
      </c>
      <c r="AU86" s="36"/>
      <c r="AV86" s="3">
        <v>6000</v>
      </c>
      <c r="AW86" s="2">
        <f t="shared" si="134"/>
        <v>0</v>
      </c>
      <c r="AX86" s="3" t="s">
        <v>139</v>
      </c>
      <c r="AY86" s="13"/>
      <c r="AZ86" s="3">
        <v>6000</v>
      </c>
      <c r="BA86" s="3">
        <f t="shared" si="164"/>
        <v>0</v>
      </c>
      <c r="BB86" s="3" t="s">
        <v>139</v>
      </c>
      <c r="BC86" s="34"/>
      <c r="BD86" s="3">
        <v>6000</v>
      </c>
      <c r="BE86" s="3">
        <f t="shared" si="165"/>
        <v>0</v>
      </c>
      <c r="BF86" s="3" t="s">
        <v>125</v>
      </c>
      <c r="BG86" s="3"/>
      <c r="BH86" s="3">
        <v>6000</v>
      </c>
      <c r="BI86" s="3">
        <f t="shared" si="215"/>
        <v>0</v>
      </c>
      <c r="BJ86" s="13" t="s">
        <v>20</v>
      </c>
      <c r="BK86" s="14"/>
      <c r="BL86" s="3">
        <v>1000</v>
      </c>
      <c r="BM86" s="3">
        <f t="shared" si="258"/>
        <v>0</v>
      </c>
      <c r="BN86" s="13" t="s">
        <v>20</v>
      </c>
      <c r="BO86" s="13"/>
      <c r="BP86" s="2">
        <v>3000</v>
      </c>
      <c r="BQ86" s="13"/>
      <c r="BR86" s="2" t="s">
        <v>126</v>
      </c>
      <c r="BS86" s="13"/>
      <c r="BT86" s="2">
        <f>6000</f>
        <v>6000</v>
      </c>
      <c r="BU86" s="3">
        <f t="shared" si="256"/>
        <v>0</v>
      </c>
      <c r="BV86" s="13"/>
      <c r="BW86" s="13"/>
      <c r="BX86" s="13"/>
      <c r="BY86" s="3">
        <f t="shared" si="136"/>
        <v>0</v>
      </c>
      <c r="BZ86" s="13"/>
      <c r="CA86" s="2" t="s">
        <v>139</v>
      </c>
      <c r="CB86" s="3">
        <v>5</v>
      </c>
      <c r="CC86" s="3">
        <v>8000</v>
      </c>
      <c r="CD86" s="3">
        <f t="shared" si="200"/>
        <v>40000</v>
      </c>
      <c r="CE86" s="2" t="s">
        <v>139</v>
      </c>
      <c r="CF86" s="2">
        <v>30</v>
      </c>
      <c r="CG86" s="2">
        <v>6000</v>
      </c>
      <c r="CH86" s="3">
        <f t="shared" si="201"/>
        <v>180000</v>
      </c>
      <c r="CI86" s="3" t="s">
        <v>139</v>
      </c>
      <c r="CJ86" s="3">
        <v>1</v>
      </c>
      <c r="CK86" s="13"/>
      <c r="CL86" s="3">
        <f t="shared" si="166"/>
        <v>0</v>
      </c>
      <c r="CM86" s="5">
        <f t="shared" si="167"/>
        <v>220000</v>
      </c>
      <c r="CN86" s="3" t="s">
        <v>125</v>
      </c>
      <c r="CO86" s="3">
        <v>0</v>
      </c>
      <c r="CP86" s="3">
        <v>6000</v>
      </c>
      <c r="CQ86" s="3">
        <f t="shared" si="154"/>
        <v>0</v>
      </c>
      <c r="CR86" s="3" t="s">
        <v>125</v>
      </c>
      <c r="CS86" s="3">
        <v>75</v>
      </c>
      <c r="CT86" s="3">
        <v>6000</v>
      </c>
      <c r="CU86" s="3">
        <f t="shared" si="155"/>
        <v>450000</v>
      </c>
      <c r="CV86" s="3" t="s">
        <v>125</v>
      </c>
      <c r="CW86" s="3">
        <v>30</v>
      </c>
      <c r="CX86" s="3">
        <v>6000</v>
      </c>
      <c r="CY86" s="3">
        <f t="shared" si="219"/>
        <v>180000</v>
      </c>
      <c r="CZ86" s="3" t="s">
        <v>125</v>
      </c>
      <c r="DA86" s="3">
        <v>15</v>
      </c>
      <c r="DB86" s="3">
        <v>6000</v>
      </c>
      <c r="DC86" s="3">
        <f t="shared" si="220"/>
        <v>90000</v>
      </c>
      <c r="DD86" s="3" t="s">
        <v>125</v>
      </c>
      <c r="DE86" s="3">
        <v>5</v>
      </c>
      <c r="DF86" s="3">
        <v>6000</v>
      </c>
      <c r="DG86" s="3">
        <f t="shared" si="301"/>
        <v>30000</v>
      </c>
      <c r="DH86" s="3" t="s">
        <v>125</v>
      </c>
      <c r="DI86" s="3">
        <v>75</v>
      </c>
      <c r="DJ86" s="3">
        <v>6000</v>
      </c>
      <c r="DK86" s="3">
        <f t="shared" si="158"/>
        <v>450000</v>
      </c>
      <c r="DL86" s="3" t="s">
        <v>125</v>
      </c>
      <c r="DM86" s="3"/>
      <c r="DN86" s="3">
        <v>6000</v>
      </c>
      <c r="DO86" s="3">
        <f t="shared" si="159"/>
        <v>0</v>
      </c>
      <c r="DP86" s="3" t="s">
        <v>125</v>
      </c>
      <c r="DQ86" s="3"/>
      <c r="DR86" s="3">
        <v>6000</v>
      </c>
      <c r="DS86" s="3">
        <f t="shared" si="213"/>
        <v>0</v>
      </c>
      <c r="DT86" s="6">
        <f t="shared" si="214"/>
        <v>1200000</v>
      </c>
      <c r="DU86" s="2" t="s">
        <v>157</v>
      </c>
      <c r="DV86" s="3">
        <f t="shared" si="189"/>
        <v>2000</v>
      </c>
      <c r="DW86" s="3">
        <f>U86</f>
        <v>730</v>
      </c>
      <c r="DX86" s="3">
        <f t="shared" si="168"/>
        <v>1460000</v>
      </c>
      <c r="DY86" s="3" t="s">
        <v>127</v>
      </c>
      <c r="DZ86" s="3">
        <f t="shared" si="191"/>
        <v>10</v>
      </c>
      <c r="EA86" s="2">
        <v>50000</v>
      </c>
      <c r="EB86" s="3">
        <f t="shared" si="169"/>
        <v>500000</v>
      </c>
      <c r="EC86" s="2" t="s">
        <v>127</v>
      </c>
      <c r="ED86" s="3">
        <f t="shared" si="192"/>
        <v>0</v>
      </c>
      <c r="EE86" s="3">
        <v>80000</v>
      </c>
      <c r="EF86" s="3">
        <f t="shared" si="170"/>
        <v>0</v>
      </c>
      <c r="EG86" s="2" t="s">
        <v>157</v>
      </c>
      <c r="EH86" s="3">
        <f t="shared" si="193"/>
        <v>300</v>
      </c>
      <c r="EI86" s="3">
        <v>6000</v>
      </c>
      <c r="EJ86" s="7">
        <f t="shared" si="124"/>
        <v>1800000</v>
      </c>
      <c r="EK86" s="2" t="s">
        <v>157</v>
      </c>
      <c r="EL86" s="13">
        <f t="shared" si="149"/>
        <v>0</v>
      </c>
      <c r="EM86" s="3">
        <v>3000</v>
      </c>
      <c r="EN86" s="3">
        <f t="shared" si="171"/>
        <v>0</v>
      </c>
      <c r="EO86" s="3" t="s">
        <v>126</v>
      </c>
      <c r="EP86" s="3">
        <f t="shared" si="194"/>
        <v>400</v>
      </c>
      <c r="EQ86" s="3">
        <v>1000</v>
      </c>
      <c r="ER86" s="7">
        <f t="shared" si="195"/>
        <v>400000</v>
      </c>
      <c r="ES86" s="3" t="s">
        <v>124</v>
      </c>
      <c r="ET86" s="2">
        <v>1</v>
      </c>
      <c r="EU86" s="3">
        <v>60000</v>
      </c>
      <c r="EV86" s="3">
        <f t="shared" si="172"/>
        <v>60000</v>
      </c>
      <c r="EW86" s="3" t="s">
        <v>124</v>
      </c>
      <c r="EX86" s="13"/>
      <c r="EY86" s="3">
        <v>60000</v>
      </c>
      <c r="EZ86" s="3">
        <f t="shared" si="173"/>
        <v>0</v>
      </c>
      <c r="FA86" s="3" t="s">
        <v>170</v>
      </c>
      <c r="FB86" s="14"/>
      <c r="FC86" s="3">
        <v>1000</v>
      </c>
      <c r="FD86" s="3">
        <f t="shared" si="174"/>
        <v>0</v>
      </c>
      <c r="FE86" s="3" t="s">
        <v>126</v>
      </c>
      <c r="FF86" s="3">
        <f t="shared" si="196"/>
        <v>0</v>
      </c>
      <c r="FG86" s="3">
        <v>6000</v>
      </c>
      <c r="FH86" s="3">
        <f t="shared" si="175"/>
        <v>0</v>
      </c>
      <c r="FI86" s="1">
        <f t="shared" si="176"/>
        <v>4220000</v>
      </c>
      <c r="FJ86" s="3" t="s">
        <v>139</v>
      </c>
      <c r="FK86" s="2">
        <v>40</v>
      </c>
      <c r="FL86" s="2">
        <v>6000</v>
      </c>
      <c r="FM86" s="3">
        <f t="shared" si="177"/>
        <v>240000</v>
      </c>
      <c r="FN86" s="3" t="s">
        <v>139</v>
      </c>
      <c r="FO86" s="2"/>
      <c r="FP86" s="3">
        <v>6000</v>
      </c>
      <c r="FQ86" s="3">
        <f t="shared" si="197"/>
        <v>0</v>
      </c>
      <c r="FR86" s="3" t="s">
        <v>139</v>
      </c>
      <c r="FS86" s="13"/>
      <c r="FT86" s="15">
        <v>6000</v>
      </c>
      <c r="FU86" s="3">
        <f t="shared" si="178"/>
        <v>0</v>
      </c>
      <c r="FV86" s="3" t="s">
        <v>139</v>
      </c>
      <c r="FW86" s="14"/>
      <c r="FX86" s="3">
        <v>8000</v>
      </c>
      <c r="FY86" s="3">
        <f t="shared" si="179"/>
        <v>0</v>
      </c>
      <c r="FZ86" s="3" t="s">
        <v>139</v>
      </c>
      <c r="GA86" s="3">
        <v>2</v>
      </c>
      <c r="GB86" s="3">
        <v>8000</v>
      </c>
      <c r="GC86" s="3">
        <f t="shared" si="180"/>
        <v>16000</v>
      </c>
      <c r="GD86" s="3" t="s">
        <v>139</v>
      </c>
      <c r="GE86" s="3">
        <v>10</v>
      </c>
      <c r="GF86" s="3">
        <v>10000</v>
      </c>
      <c r="GG86" s="3">
        <f t="shared" si="181"/>
        <v>100000</v>
      </c>
      <c r="GH86" s="3" t="s">
        <v>139</v>
      </c>
      <c r="GI86" s="13"/>
      <c r="GJ86" s="13"/>
      <c r="GK86" s="3">
        <f t="shared" si="182"/>
        <v>0</v>
      </c>
      <c r="GL86" s="92">
        <f t="shared" si="183"/>
        <v>356000</v>
      </c>
      <c r="GM86" s="8">
        <f t="shared" si="184"/>
        <v>5996000</v>
      </c>
      <c r="GN86" s="8">
        <f t="shared" si="290"/>
        <v>500</v>
      </c>
      <c r="GO86" s="101">
        <v>13000</v>
      </c>
      <c r="GP86" s="8">
        <f t="shared" si="198"/>
        <v>6500000</v>
      </c>
      <c r="GQ86" s="8">
        <f t="shared" si="186"/>
        <v>13000000</v>
      </c>
      <c r="GR86" s="8">
        <f t="shared" si="187"/>
        <v>504000</v>
      </c>
      <c r="GS86" s="8">
        <f t="shared" si="188"/>
        <v>7004000</v>
      </c>
      <c r="GT86" s="15" t="s">
        <v>1832</v>
      </c>
      <c r="GU86" s="47" t="s">
        <v>1831</v>
      </c>
    </row>
    <row r="87" spans="1:280" s="58" customFormat="1" ht="158.25" customHeight="1">
      <c r="A87" s="44">
        <v>88</v>
      </c>
      <c r="B87" s="23" t="s">
        <v>1383</v>
      </c>
      <c r="C87" s="13" t="s">
        <v>1384</v>
      </c>
      <c r="D87" s="15" t="s">
        <v>1385</v>
      </c>
      <c r="E87" s="13" t="s">
        <v>1388</v>
      </c>
      <c r="F87" s="15" t="s">
        <v>1389</v>
      </c>
      <c r="G87" s="13" t="s">
        <v>1386</v>
      </c>
      <c r="H87" s="15" t="s">
        <v>45</v>
      </c>
      <c r="I87" s="15" t="s">
        <v>1387</v>
      </c>
      <c r="J87" s="15" t="s">
        <v>1391</v>
      </c>
      <c r="K87" s="15" t="s">
        <v>1390</v>
      </c>
      <c r="L87" s="15" t="s">
        <v>1392</v>
      </c>
      <c r="M87" s="15" t="s">
        <v>1393</v>
      </c>
      <c r="N87" s="15" t="s">
        <v>1394</v>
      </c>
      <c r="O87" s="13" t="s">
        <v>1395</v>
      </c>
      <c r="P87" s="15" t="s">
        <v>1396</v>
      </c>
      <c r="Q87" s="15" t="s">
        <v>1397</v>
      </c>
      <c r="R87" s="15">
        <v>40</v>
      </c>
      <c r="S87" s="15">
        <v>60</v>
      </c>
      <c r="T87" s="15">
        <v>4000</v>
      </c>
      <c r="U87" s="15">
        <v>85</v>
      </c>
      <c r="V87" s="15">
        <v>110</v>
      </c>
      <c r="W87" s="15" t="s">
        <v>1398</v>
      </c>
      <c r="X87" s="15">
        <v>0.5</v>
      </c>
      <c r="Y87" s="15">
        <v>1.2</v>
      </c>
      <c r="Z87" s="15" t="s">
        <v>1399</v>
      </c>
      <c r="AA87" s="15" t="s">
        <v>1400</v>
      </c>
      <c r="AB87" s="15" t="s">
        <v>1401</v>
      </c>
      <c r="AC87" s="3">
        <v>50000</v>
      </c>
      <c r="AD87" s="13">
        <v>5</v>
      </c>
      <c r="AE87" s="13"/>
      <c r="AF87" s="3">
        <v>80000</v>
      </c>
      <c r="AG87" s="3">
        <f t="shared" si="211"/>
        <v>250000</v>
      </c>
      <c r="AH87" s="15" t="s">
        <v>2020</v>
      </c>
      <c r="AI87" s="13">
        <v>100</v>
      </c>
      <c r="AJ87" s="15">
        <v>1000</v>
      </c>
      <c r="AK87" s="13">
        <v>0</v>
      </c>
      <c r="AL87" s="15">
        <v>6000</v>
      </c>
      <c r="AM87" s="15"/>
      <c r="AN87" s="15">
        <v>3000</v>
      </c>
      <c r="AO87" s="42"/>
      <c r="AP87" s="15">
        <v>6000</v>
      </c>
      <c r="AQ87" s="2">
        <f t="shared" si="199"/>
        <v>100000</v>
      </c>
      <c r="AR87" s="15" t="s">
        <v>1402</v>
      </c>
      <c r="AS87" s="15" t="s">
        <v>1403</v>
      </c>
      <c r="AT87" s="2" t="s">
        <v>139</v>
      </c>
      <c r="AU87" s="36"/>
      <c r="AV87" s="3">
        <v>6000</v>
      </c>
      <c r="AW87" s="2">
        <f t="shared" si="134"/>
        <v>0</v>
      </c>
      <c r="AX87" s="3" t="s">
        <v>139</v>
      </c>
      <c r="AY87" s="13"/>
      <c r="AZ87" s="3">
        <v>6000</v>
      </c>
      <c r="BA87" s="3">
        <f t="shared" si="164"/>
        <v>0</v>
      </c>
      <c r="BB87" s="3" t="s">
        <v>139</v>
      </c>
      <c r="BC87" s="34"/>
      <c r="BD87" s="3">
        <v>6000</v>
      </c>
      <c r="BE87" s="3">
        <f t="shared" si="165"/>
        <v>0</v>
      </c>
      <c r="BF87" s="3" t="s">
        <v>125</v>
      </c>
      <c r="BG87" s="3"/>
      <c r="BH87" s="3">
        <v>6000</v>
      </c>
      <c r="BI87" s="3">
        <f t="shared" si="215"/>
        <v>0</v>
      </c>
      <c r="BJ87" s="13" t="s">
        <v>20</v>
      </c>
      <c r="BK87" s="14"/>
      <c r="BL87" s="3">
        <v>1000</v>
      </c>
      <c r="BM87" s="3">
        <f t="shared" si="258"/>
        <v>0</v>
      </c>
      <c r="BN87" s="13" t="s">
        <v>20</v>
      </c>
      <c r="BO87" s="57"/>
      <c r="BP87" s="2">
        <v>3000</v>
      </c>
      <c r="BQ87" s="57"/>
      <c r="BR87" s="57"/>
      <c r="BS87" s="57"/>
      <c r="BT87" s="57"/>
      <c r="BU87" s="57"/>
      <c r="BV87" s="57"/>
      <c r="BW87" s="57"/>
      <c r="BX87" s="57"/>
      <c r="BY87" s="3">
        <f t="shared" si="136"/>
        <v>0</v>
      </c>
      <c r="BZ87" s="57"/>
      <c r="CA87" s="57"/>
      <c r="CB87" s="3">
        <v>5</v>
      </c>
      <c r="CC87" s="3">
        <v>8000</v>
      </c>
      <c r="CD87" s="3">
        <f t="shared" si="200"/>
        <v>40000</v>
      </c>
      <c r="CE87" s="57"/>
      <c r="CF87" s="2">
        <v>30</v>
      </c>
      <c r="CG87" s="2">
        <v>6000</v>
      </c>
      <c r="CH87" s="3">
        <f t="shared" si="201"/>
        <v>180000</v>
      </c>
      <c r="CI87" s="3" t="s">
        <v>139</v>
      </c>
      <c r="CJ87" s="3">
        <v>1</v>
      </c>
      <c r="CK87" s="57"/>
      <c r="CL87" s="3">
        <f t="shared" si="166"/>
        <v>0</v>
      </c>
      <c r="CM87" s="5">
        <f t="shared" si="167"/>
        <v>220000</v>
      </c>
      <c r="CN87" s="3" t="s">
        <v>125</v>
      </c>
      <c r="CO87" s="3">
        <v>0</v>
      </c>
      <c r="CP87" s="3">
        <v>6000</v>
      </c>
      <c r="CQ87" s="3">
        <f t="shared" si="154"/>
        <v>0</v>
      </c>
      <c r="CR87" s="3" t="s">
        <v>125</v>
      </c>
      <c r="CS87" s="3">
        <v>50</v>
      </c>
      <c r="CT87" s="3">
        <v>6000</v>
      </c>
      <c r="CU87" s="3">
        <f t="shared" si="155"/>
        <v>300000</v>
      </c>
      <c r="CV87" s="3" t="s">
        <v>125</v>
      </c>
      <c r="CW87" s="3">
        <v>30</v>
      </c>
      <c r="CX87" s="3">
        <v>6000</v>
      </c>
      <c r="CY87" s="3">
        <f t="shared" si="219"/>
        <v>180000</v>
      </c>
      <c r="CZ87" s="3" t="s">
        <v>125</v>
      </c>
      <c r="DA87" s="3">
        <v>15</v>
      </c>
      <c r="DB87" s="3">
        <v>6000</v>
      </c>
      <c r="DC87" s="3">
        <f t="shared" si="220"/>
        <v>90000</v>
      </c>
      <c r="DD87" s="3" t="s">
        <v>125</v>
      </c>
      <c r="DE87" s="3">
        <v>5</v>
      </c>
      <c r="DF87" s="3">
        <v>6000</v>
      </c>
      <c r="DG87" s="3">
        <f t="shared" si="301"/>
        <v>30000</v>
      </c>
      <c r="DH87" s="3" t="s">
        <v>125</v>
      </c>
      <c r="DI87" s="3">
        <v>20</v>
      </c>
      <c r="DJ87" s="3">
        <v>6000</v>
      </c>
      <c r="DK87" s="3">
        <f t="shared" si="158"/>
        <v>120000</v>
      </c>
      <c r="DL87" s="3" t="s">
        <v>125</v>
      </c>
      <c r="DM87" s="3"/>
      <c r="DN87" s="3">
        <v>6000</v>
      </c>
      <c r="DO87" s="3">
        <f t="shared" si="159"/>
        <v>0</v>
      </c>
      <c r="DP87" s="3" t="s">
        <v>125</v>
      </c>
      <c r="DQ87" s="3"/>
      <c r="DR87" s="3">
        <v>6000</v>
      </c>
      <c r="DS87" s="3">
        <f t="shared" si="213"/>
        <v>0</v>
      </c>
      <c r="DT87" s="6">
        <f t="shared" si="214"/>
        <v>720000</v>
      </c>
      <c r="DU87" s="2" t="s">
        <v>157</v>
      </c>
      <c r="DV87" s="3">
        <f t="shared" si="189"/>
        <v>40</v>
      </c>
      <c r="DW87" s="3">
        <f t="shared" si="190"/>
        <v>4000</v>
      </c>
      <c r="DX87" s="3">
        <f t="shared" si="168"/>
        <v>160000</v>
      </c>
      <c r="DY87" s="3" t="s">
        <v>127</v>
      </c>
      <c r="DZ87" s="3">
        <f t="shared" si="191"/>
        <v>5</v>
      </c>
      <c r="EA87" s="2">
        <v>50000</v>
      </c>
      <c r="EB87" s="3">
        <f t="shared" si="169"/>
        <v>250000</v>
      </c>
      <c r="EC87" s="2" t="s">
        <v>127</v>
      </c>
      <c r="ED87" s="3">
        <f t="shared" si="192"/>
        <v>0</v>
      </c>
      <c r="EE87" s="3">
        <v>80000</v>
      </c>
      <c r="EF87" s="3">
        <f t="shared" si="170"/>
        <v>0</v>
      </c>
      <c r="EG87" s="2" t="s">
        <v>157</v>
      </c>
      <c r="EH87" s="3">
        <f t="shared" si="193"/>
        <v>0</v>
      </c>
      <c r="EI87" s="3">
        <v>6000</v>
      </c>
      <c r="EJ87" s="7">
        <f t="shared" si="124"/>
        <v>0</v>
      </c>
      <c r="EK87" s="2" t="s">
        <v>157</v>
      </c>
      <c r="EL87" s="13">
        <f t="shared" si="149"/>
        <v>0</v>
      </c>
      <c r="EM87" s="3">
        <v>3000</v>
      </c>
      <c r="EN87" s="3">
        <f t="shared" si="171"/>
        <v>0</v>
      </c>
      <c r="EO87" s="3" t="s">
        <v>126</v>
      </c>
      <c r="EP87" s="3">
        <f t="shared" si="194"/>
        <v>100</v>
      </c>
      <c r="EQ87" s="3">
        <v>1000</v>
      </c>
      <c r="ER87" s="7">
        <f t="shared" si="195"/>
        <v>100000</v>
      </c>
      <c r="ES87" s="3" t="s">
        <v>124</v>
      </c>
      <c r="ET87" s="2">
        <v>1</v>
      </c>
      <c r="EU87" s="3">
        <v>60000</v>
      </c>
      <c r="EV87" s="3">
        <f t="shared" si="172"/>
        <v>60000</v>
      </c>
      <c r="EW87" s="3" t="s">
        <v>124</v>
      </c>
      <c r="EX87" s="57"/>
      <c r="EY87" s="3">
        <v>60000</v>
      </c>
      <c r="EZ87" s="3">
        <f t="shared" si="173"/>
        <v>0</v>
      </c>
      <c r="FA87" s="3" t="s">
        <v>170</v>
      </c>
      <c r="FB87" s="14"/>
      <c r="FC87" s="3">
        <v>1000</v>
      </c>
      <c r="FD87" s="3">
        <f t="shared" si="174"/>
        <v>0</v>
      </c>
      <c r="FE87" s="3" t="s">
        <v>126</v>
      </c>
      <c r="FF87" s="3">
        <f t="shared" si="196"/>
        <v>0</v>
      </c>
      <c r="FG87" s="3">
        <v>6000</v>
      </c>
      <c r="FH87" s="3">
        <f t="shared" si="175"/>
        <v>0</v>
      </c>
      <c r="FI87" s="1">
        <f t="shared" si="176"/>
        <v>570000</v>
      </c>
      <c r="FJ87" s="3" t="s">
        <v>139</v>
      </c>
      <c r="FK87" s="2">
        <v>40</v>
      </c>
      <c r="FL87" s="2">
        <v>6000</v>
      </c>
      <c r="FM87" s="3">
        <f t="shared" si="177"/>
        <v>240000</v>
      </c>
      <c r="FN87" s="3" t="s">
        <v>139</v>
      </c>
      <c r="FO87" s="2"/>
      <c r="FP87" s="3">
        <v>6000</v>
      </c>
      <c r="FQ87" s="3">
        <f t="shared" si="197"/>
        <v>0</v>
      </c>
      <c r="FR87" s="3" t="s">
        <v>139</v>
      </c>
      <c r="FS87" s="13"/>
      <c r="FT87" s="15">
        <v>6000</v>
      </c>
      <c r="FU87" s="3">
        <f t="shared" si="178"/>
        <v>0</v>
      </c>
      <c r="FV87" s="3" t="s">
        <v>139</v>
      </c>
      <c r="FW87" s="14"/>
      <c r="FX87" s="3">
        <v>8000</v>
      </c>
      <c r="FY87" s="3">
        <f t="shared" si="179"/>
        <v>0</v>
      </c>
      <c r="FZ87" s="3" t="s">
        <v>139</v>
      </c>
      <c r="GA87" s="3">
        <v>2</v>
      </c>
      <c r="GB87" s="3">
        <v>8000</v>
      </c>
      <c r="GC87" s="3">
        <f t="shared" si="180"/>
        <v>16000</v>
      </c>
      <c r="GD87" s="3" t="s">
        <v>139</v>
      </c>
      <c r="GE87" s="3">
        <v>10</v>
      </c>
      <c r="GF87" s="3">
        <v>10000</v>
      </c>
      <c r="GG87" s="3">
        <f t="shared" si="181"/>
        <v>100000</v>
      </c>
      <c r="GH87" s="3" t="s">
        <v>139</v>
      </c>
      <c r="GI87" s="57"/>
      <c r="GJ87" s="57"/>
      <c r="GK87" s="3">
        <f t="shared" si="182"/>
        <v>0</v>
      </c>
      <c r="GL87" s="92">
        <f t="shared" si="183"/>
        <v>356000</v>
      </c>
      <c r="GM87" s="8">
        <f t="shared" si="184"/>
        <v>1866000</v>
      </c>
      <c r="GN87" s="8">
        <f t="shared" si="290"/>
        <v>500</v>
      </c>
      <c r="GO87" s="105">
        <v>5000</v>
      </c>
      <c r="GP87" s="8">
        <f t="shared" si="198"/>
        <v>2500000</v>
      </c>
      <c r="GQ87" s="8">
        <f t="shared" si="186"/>
        <v>6000000</v>
      </c>
      <c r="GR87" s="8">
        <f t="shared" si="187"/>
        <v>634000</v>
      </c>
      <c r="GS87" s="8">
        <f t="shared" si="188"/>
        <v>4134000</v>
      </c>
      <c r="GT87" s="61" t="s">
        <v>1833</v>
      </c>
      <c r="GU87" s="59" t="s">
        <v>1404</v>
      </c>
    </row>
    <row r="88" spans="1:280" s="58" customFormat="1" ht="158.25" customHeight="1">
      <c r="A88" s="44">
        <v>89</v>
      </c>
      <c r="B88" s="23" t="s">
        <v>903</v>
      </c>
      <c r="C88" s="13" t="s">
        <v>1405</v>
      </c>
      <c r="D88" s="13" t="s">
        <v>904</v>
      </c>
      <c r="E88" s="13" t="s">
        <v>1406</v>
      </c>
      <c r="F88" s="13" t="s">
        <v>1406</v>
      </c>
      <c r="G88" s="13" t="s">
        <v>1407</v>
      </c>
      <c r="H88" s="15" t="s">
        <v>45</v>
      </c>
      <c r="I88" s="15" t="s">
        <v>1408</v>
      </c>
      <c r="J88" s="15" t="s">
        <v>1409</v>
      </c>
      <c r="K88" s="15" t="s">
        <v>1410</v>
      </c>
      <c r="L88" s="15" t="s">
        <v>1411</v>
      </c>
      <c r="M88" s="15" t="s">
        <v>1412</v>
      </c>
      <c r="N88" s="15" t="s">
        <v>1414</v>
      </c>
      <c r="O88" s="15" t="s">
        <v>1413</v>
      </c>
      <c r="P88" s="15" t="s">
        <v>1415</v>
      </c>
      <c r="Q88" s="15" t="s">
        <v>1397</v>
      </c>
      <c r="R88" s="15">
        <v>100</v>
      </c>
      <c r="S88" s="15">
        <v>120</v>
      </c>
      <c r="T88" s="13">
        <v>1500</v>
      </c>
      <c r="U88" s="13">
        <v>90</v>
      </c>
      <c r="V88" s="13">
        <v>115</v>
      </c>
      <c r="W88" s="15" t="s">
        <v>1416</v>
      </c>
      <c r="X88" s="15">
        <v>1</v>
      </c>
      <c r="Y88" s="15">
        <v>2</v>
      </c>
      <c r="Z88" s="15" t="s">
        <v>1417</v>
      </c>
      <c r="AA88" s="15" t="s">
        <v>1418</v>
      </c>
      <c r="AB88" s="15" t="s">
        <v>1419</v>
      </c>
      <c r="AC88" s="3">
        <v>50000</v>
      </c>
      <c r="AD88" s="15">
        <v>5</v>
      </c>
      <c r="AE88" s="13"/>
      <c r="AF88" s="3">
        <v>80000</v>
      </c>
      <c r="AG88" s="3">
        <f t="shared" si="211"/>
        <v>250000</v>
      </c>
      <c r="AH88" s="15" t="s">
        <v>2021</v>
      </c>
      <c r="AI88" s="13">
        <v>100</v>
      </c>
      <c r="AJ88" s="15">
        <v>1000</v>
      </c>
      <c r="AK88" s="13">
        <v>100</v>
      </c>
      <c r="AL88" s="15">
        <v>6000</v>
      </c>
      <c r="AM88" s="15">
        <v>40</v>
      </c>
      <c r="AN88" s="15">
        <v>3000</v>
      </c>
      <c r="AO88" s="42"/>
      <c r="AP88" s="15">
        <v>6000</v>
      </c>
      <c r="AQ88" s="2">
        <f t="shared" si="199"/>
        <v>820000</v>
      </c>
      <c r="AR88" s="15" t="s">
        <v>1421</v>
      </c>
      <c r="AS88" s="15" t="s">
        <v>1420</v>
      </c>
      <c r="AT88" s="2" t="s">
        <v>139</v>
      </c>
      <c r="AU88" s="13">
        <v>7.5</v>
      </c>
      <c r="AV88" s="3">
        <v>6000</v>
      </c>
      <c r="AW88" s="2">
        <f t="shared" si="134"/>
        <v>45000</v>
      </c>
      <c r="AX88" s="2" t="s">
        <v>139</v>
      </c>
      <c r="AY88" s="13">
        <v>5</v>
      </c>
      <c r="AZ88" s="3">
        <v>6000</v>
      </c>
      <c r="BA88" s="2">
        <f t="shared" si="164"/>
        <v>30000</v>
      </c>
      <c r="BB88" s="2" t="s">
        <v>139</v>
      </c>
      <c r="BC88" s="13">
        <v>2</v>
      </c>
      <c r="BD88" s="3">
        <v>6000</v>
      </c>
      <c r="BE88" s="3">
        <f t="shared" si="165"/>
        <v>12000</v>
      </c>
      <c r="BF88" s="3" t="s">
        <v>125</v>
      </c>
      <c r="BG88" s="2">
        <v>2</v>
      </c>
      <c r="BH88" s="3">
        <v>6000</v>
      </c>
      <c r="BI88" s="3">
        <f t="shared" si="215"/>
        <v>12000</v>
      </c>
      <c r="BJ88" s="3" t="s">
        <v>126</v>
      </c>
      <c r="BK88" s="13"/>
      <c r="BL88" s="3">
        <v>1000</v>
      </c>
      <c r="BM88" s="3">
        <f t="shared" si="258"/>
        <v>0</v>
      </c>
      <c r="BN88" s="13" t="s">
        <v>20</v>
      </c>
      <c r="BO88" s="13"/>
      <c r="BP88" s="2">
        <v>3000</v>
      </c>
      <c r="BQ88" s="3">
        <f>BO88*BP88</f>
        <v>0</v>
      </c>
      <c r="BR88" s="2" t="s">
        <v>126</v>
      </c>
      <c r="BS88" s="13"/>
      <c r="BT88" s="2">
        <f>6000</f>
        <v>6000</v>
      </c>
      <c r="BU88" s="3">
        <f t="shared" ref="BU88" si="302">BS88*BT88</f>
        <v>0</v>
      </c>
      <c r="BV88" s="2" t="s">
        <v>126</v>
      </c>
      <c r="BW88" s="13">
        <v>9</v>
      </c>
      <c r="BX88" s="2">
        <v>6000</v>
      </c>
      <c r="BY88" s="3">
        <f t="shared" si="136"/>
        <v>54000</v>
      </c>
      <c r="BZ88" s="92">
        <f t="shared" ref="BZ88" si="303">AW88+BE88+BM88+BQ88+BU88+BI88+BY88</f>
        <v>123000</v>
      </c>
      <c r="CA88" s="57"/>
      <c r="CB88" s="3">
        <v>5</v>
      </c>
      <c r="CC88" s="3">
        <v>8000</v>
      </c>
      <c r="CD88" s="3">
        <f t="shared" si="200"/>
        <v>40000</v>
      </c>
      <c r="CE88" s="57"/>
      <c r="CF88" s="2">
        <v>30</v>
      </c>
      <c r="CG88" s="2">
        <v>6000</v>
      </c>
      <c r="CH88" s="3">
        <f t="shared" si="201"/>
        <v>180000</v>
      </c>
      <c r="CI88" s="3" t="s">
        <v>139</v>
      </c>
      <c r="CJ88" s="3">
        <v>1</v>
      </c>
      <c r="CK88" s="57"/>
      <c r="CL88" s="3">
        <f t="shared" si="166"/>
        <v>0</v>
      </c>
      <c r="CM88" s="5">
        <f t="shared" si="167"/>
        <v>220000</v>
      </c>
      <c r="CN88" s="3" t="s">
        <v>125</v>
      </c>
      <c r="CO88" s="3">
        <v>0</v>
      </c>
      <c r="CP88" s="3">
        <v>6000</v>
      </c>
      <c r="CQ88" s="3">
        <f t="shared" si="154"/>
        <v>0</v>
      </c>
      <c r="CR88" s="3" t="s">
        <v>125</v>
      </c>
      <c r="CS88" s="3">
        <v>50</v>
      </c>
      <c r="CT88" s="3">
        <v>6000</v>
      </c>
      <c r="CU88" s="3">
        <f t="shared" si="155"/>
        <v>300000</v>
      </c>
      <c r="CV88" s="3" t="s">
        <v>125</v>
      </c>
      <c r="CW88" s="3">
        <v>30</v>
      </c>
      <c r="CX88" s="3">
        <v>6000</v>
      </c>
      <c r="CY88" s="3">
        <f t="shared" si="219"/>
        <v>180000</v>
      </c>
      <c r="CZ88" s="3" t="s">
        <v>125</v>
      </c>
      <c r="DA88" s="3">
        <v>15</v>
      </c>
      <c r="DB88" s="3">
        <v>6000</v>
      </c>
      <c r="DC88" s="3">
        <f t="shared" si="220"/>
        <v>90000</v>
      </c>
      <c r="DD88" s="3" t="s">
        <v>125</v>
      </c>
      <c r="DE88" s="3">
        <v>5</v>
      </c>
      <c r="DF88" s="3">
        <v>6000</v>
      </c>
      <c r="DG88" s="3">
        <f t="shared" si="121"/>
        <v>30000</v>
      </c>
      <c r="DH88" s="3" t="s">
        <v>125</v>
      </c>
      <c r="DI88" s="3">
        <v>20</v>
      </c>
      <c r="DJ88" s="3">
        <v>6000</v>
      </c>
      <c r="DK88" s="3">
        <f t="shared" si="158"/>
        <v>120000</v>
      </c>
      <c r="DL88" s="3" t="s">
        <v>125</v>
      </c>
      <c r="DM88" s="3"/>
      <c r="DN88" s="3">
        <v>6000</v>
      </c>
      <c r="DO88" s="3">
        <f t="shared" si="159"/>
        <v>0</v>
      </c>
      <c r="DP88" s="3" t="s">
        <v>125</v>
      </c>
      <c r="DQ88" s="3"/>
      <c r="DR88" s="3">
        <v>6000</v>
      </c>
      <c r="DS88" s="3">
        <f t="shared" si="213"/>
        <v>0</v>
      </c>
      <c r="DT88" s="6">
        <f t="shared" si="214"/>
        <v>720000</v>
      </c>
      <c r="DU88" s="2" t="s">
        <v>157</v>
      </c>
      <c r="DV88" s="3">
        <f>S88</f>
        <v>120</v>
      </c>
      <c r="DW88" s="3">
        <f t="shared" si="190"/>
        <v>1500</v>
      </c>
      <c r="DX88" s="3">
        <f t="shared" si="168"/>
        <v>180000</v>
      </c>
      <c r="DY88" s="3" t="s">
        <v>127</v>
      </c>
      <c r="DZ88" s="3">
        <f t="shared" si="191"/>
        <v>5</v>
      </c>
      <c r="EA88" s="2">
        <v>50000</v>
      </c>
      <c r="EB88" s="3">
        <f t="shared" si="169"/>
        <v>250000</v>
      </c>
      <c r="EC88" s="2" t="s">
        <v>127</v>
      </c>
      <c r="ED88" s="3">
        <f t="shared" si="192"/>
        <v>0</v>
      </c>
      <c r="EE88" s="3">
        <v>80000</v>
      </c>
      <c r="EF88" s="3">
        <f t="shared" si="170"/>
        <v>0</v>
      </c>
      <c r="EG88" s="2" t="s">
        <v>157</v>
      </c>
      <c r="EH88" s="3">
        <f t="shared" si="193"/>
        <v>100</v>
      </c>
      <c r="EI88" s="3">
        <v>6000</v>
      </c>
      <c r="EJ88" s="7">
        <f t="shared" si="124"/>
        <v>600000</v>
      </c>
      <c r="EK88" s="2" t="s">
        <v>157</v>
      </c>
      <c r="EL88" s="13">
        <f t="shared" si="149"/>
        <v>40</v>
      </c>
      <c r="EM88" s="3">
        <v>3000</v>
      </c>
      <c r="EN88" s="3">
        <f t="shared" si="171"/>
        <v>120000</v>
      </c>
      <c r="EO88" s="3" t="s">
        <v>126</v>
      </c>
      <c r="EP88" s="3">
        <f t="shared" si="194"/>
        <v>100</v>
      </c>
      <c r="EQ88" s="3">
        <v>1000</v>
      </c>
      <c r="ER88" s="7">
        <f t="shared" si="195"/>
        <v>100000</v>
      </c>
      <c r="ES88" s="3" t="s">
        <v>124</v>
      </c>
      <c r="ET88" s="2">
        <v>1</v>
      </c>
      <c r="EU88" s="3">
        <v>60000</v>
      </c>
      <c r="EV88" s="3">
        <f t="shared" si="172"/>
        <v>60000</v>
      </c>
      <c r="EW88" s="3" t="s">
        <v>124</v>
      </c>
      <c r="EX88" s="57"/>
      <c r="EY88" s="3">
        <v>60000</v>
      </c>
      <c r="EZ88" s="3">
        <f t="shared" si="173"/>
        <v>0</v>
      </c>
      <c r="FA88" s="3" t="s">
        <v>170</v>
      </c>
      <c r="FB88" s="14"/>
      <c r="FC88" s="3">
        <v>1000</v>
      </c>
      <c r="FD88" s="3">
        <f t="shared" si="174"/>
        <v>0</v>
      </c>
      <c r="FE88" s="3" t="s">
        <v>126</v>
      </c>
      <c r="FF88" s="3">
        <f t="shared" si="196"/>
        <v>0</v>
      </c>
      <c r="FG88" s="3">
        <v>6000</v>
      </c>
      <c r="FH88" s="3">
        <f t="shared" si="175"/>
        <v>0</v>
      </c>
      <c r="FI88" s="1">
        <f t="shared" si="176"/>
        <v>1310000</v>
      </c>
      <c r="FJ88" s="3" t="s">
        <v>139</v>
      </c>
      <c r="FK88" s="2">
        <v>40</v>
      </c>
      <c r="FL88" s="2">
        <v>6000</v>
      </c>
      <c r="FM88" s="3">
        <f t="shared" si="177"/>
        <v>240000</v>
      </c>
      <c r="FN88" s="3" t="s">
        <v>139</v>
      </c>
      <c r="FO88" s="2"/>
      <c r="FP88" s="3">
        <v>6000</v>
      </c>
      <c r="FQ88" s="3">
        <f t="shared" si="197"/>
        <v>0</v>
      </c>
      <c r="FR88" s="3" t="s">
        <v>139</v>
      </c>
      <c r="FS88" s="13"/>
      <c r="FT88" s="15">
        <v>6000</v>
      </c>
      <c r="FU88" s="3">
        <f t="shared" si="178"/>
        <v>0</v>
      </c>
      <c r="FV88" s="3" t="s">
        <v>139</v>
      </c>
      <c r="FW88" s="14"/>
      <c r="FX88" s="3">
        <v>8000</v>
      </c>
      <c r="FY88" s="3">
        <f t="shared" si="179"/>
        <v>0</v>
      </c>
      <c r="FZ88" s="3" t="s">
        <v>139</v>
      </c>
      <c r="GA88" s="3">
        <v>2</v>
      </c>
      <c r="GB88" s="3">
        <v>8000</v>
      </c>
      <c r="GC88" s="3">
        <f t="shared" si="180"/>
        <v>16000</v>
      </c>
      <c r="GD88" s="3" t="s">
        <v>139</v>
      </c>
      <c r="GE88" s="3">
        <v>10</v>
      </c>
      <c r="GF88" s="3">
        <v>10000</v>
      </c>
      <c r="GG88" s="3">
        <f t="shared" si="181"/>
        <v>100000</v>
      </c>
      <c r="GH88" s="3" t="s">
        <v>139</v>
      </c>
      <c r="GI88" s="57"/>
      <c r="GJ88" s="57"/>
      <c r="GK88" s="3">
        <f t="shared" si="182"/>
        <v>0</v>
      </c>
      <c r="GL88" s="92">
        <f t="shared" si="183"/>
        <v>356000</v>
      </c>
      <c r="GM88" s="8">
        <f>BZ88+CM88+DT88+FI88+GL88</f>
        <v>2729000</v>
      </c>
      <c r="GN88" s="8">
        <f t="shared" si="185"/>
        <v>1000</v>
      </c>
      <c r="GO88" s="105">
        <v>3000</v>
      </c>
      <c r="GP88" s="8">
        <f t="shared" si="198"/>
        <v>3000000</v>
      </c>
      <c r="GQ88" s="8">
        <f t="shared" si="186"/>
        <v>6000000</v>
      </c>
      <c r="GR88" s="8">
        <f t="shared" si="187"/>
        <v>271000</v>
      </c>
      <c r="GS88" s="8">
        <f t="shared" si="188"/>
        <v>3271000</v>
      </c>
      <c r="GT88" s="61" t="s">
        <v>1834</v>
      </c>
      <c r="GU88" s="60" t="s">
        <v>1422</v>
      </c>
    </row>
    <row r="89" spans="1:280" s="58" customFormat="1" ht="158.25" customHeight="1">
      <c r="A89" s="44">
        <v>90</v>
      </c>
      <c r="B89" s="23" t="s">
        <v>905</v>
      </c>
      <c r="C89" s="13" t="s">
        <v>1423</v>
      </c>
      <c r="D89" s="13" t="s">
        <v>906</v>
      </c>
      <c r="E89" s="13" t="s">
        <v>1424</v>
      </c>
      <c r="F89" s="15" t="s">
        <v>1425</v>
      </c>
      <c r="G89" s="13" t="s">
        <v>1426</v>
      </c>
      <c r="H89" s="15" t="s">
        <v>45</v>
      </c>
      <c r="I89" s="61" t="s">
        <v>1427</v>
      </c>
      <c r="J89" s="15" t="s">
        <v>1428</v>
      </c>
      <c r="K89" s="15" t="s">
        <v>1410</v>
      </c>
      <c r="L89" s="15" t="s">
        <v>1429</v>
      </c>
      <c r="M89" s="15" t="s">
        <v>1430</v>
      </c>
      <c r="N89" s="15" t="s">
        <v>1431</v>
      </c>
      <c r="O89" s="15" t="s">
        <v>1432</v>
      </c>
      <c r="P89" s="15" t="s">
        <v>1433</v>
      </c>
      <c r="Q89" s="15" t="s">
        <v>997</v>
      </c>
      <c r="R89" s="15">
        <v>100</v>
      </c>
      <c r="S89" s="15">
        <v>120</v>
      </c>
      <c r="T89" s="15">
        <v>3000</v>
      </c>
      <c r="U89" s="15">
        <v>95</v>
      </c>
      <c r="V89" s="15">
        <v>120</v>
      </c>
      <c r="W89" s="15" t="s">
        <v>1434</v>
      </c>
      <c r="X89" s="15">
        <v>1.2</v>
      </c>
      <c r="Y89" s="15">
        <v>2.5</v>
      </c>
      <c r="Z89" s="15" t="s">
        <v>1435</v>
      </c>
      <c r="AA89" s="15" t="s">
        <v>1436</v>
      </c>
      <c r="AB89" s="15" t="s">
        <v>1437</v>
      </c>
      <c r="AC89" s="3">
        <v>50000</v>
      </c>
      <c r="AD89" s="15">
        <v>6</v>
      </c>
      <c r="AE89" s="13"/>
      <c r="AF89" s="3">
        <v>80000</v>
      </c>
      <c r="AG89" s="3">
        <f t="shared" si="211"/>
        <v>300000</v>
      </c>
      <c r="AH89" s="15" t="s">
        <v>1438</v>
      </c>
      <c r="AI89" s="13">
        <v>200</v>
      </c>
      <c r="AJ89" s="15">
        <v>1000</v>
      </c>
      <c r="AK89" s="13">
        <v>100</v>
      </c>
      <c r="AL89" s="15">
        <v>6000</v>
      </c>
      <c r="AM89" s="15">
        <v>40</v>
      </c>
      <c r="AN89" s="15">
        <v>3000</v>
      </c>
      <c r="AO89" s="42"/>
      <c r="AP89" s="15">
        <v>6000</v>
      </c>
      <c r="AQ89" s="2">
        <f t="shared" si="199"/>
        <v>920000</v>
      </c>
      <c r="AR89" s="15" t="s">
        <v>1439</v>
      </c>
      <c r="AS89" s="15" t="s">
        <v>1440</v>
      </c>
      <c r="AT89" s="2" t="s">
        <v>139</v>
      </c>
      <c r="AU89" s="36"/>
      <c r="AV89" s="3">
        <v>6000</v>
      </c>
      <c r="AW89" s="2">
        <f t="shared" si="134"/>
        <v>0</v>
      </c>
      <c r="AX89" s="3" t="s">
        <v>139</v>
      </c>
      <c r="AY89" s="13"/>
      <c r="AZ89" s="3">
        <v>6000</v>
      </c>
      <c r="BA89" s="3">
        <f t="shared" si="164"/>
        <v>0</v>
      </c>
      <c r="BB89" s="3" t="s">
        <v>139</v>
      </c>
      <c r="BC89" s="34"/>
      <c r="BD89" s="3">
        <v>6000</v>
      </c>
      <c r="BE89" s="3">
        <f t="shared" si="165"/>
        <v>0</v>
      </c>
      <c r="BF89" s="3" t="s">
        <v>125</v>
      </c>
      <c r="BG89" s="3"/>
      <c r="BH89" s="3">
        <v>6000</v>
      </c>
      <c r="BI89" s="3">
        <f t="shared" si="215"/>
        <v>0</v>
      </c>
      <c r="BJ89" s="13" t="s">
        <v>20</v>
      </c>
      <c r="BK89" s="14"/>
      <c r="BL89" s="3">
        <v>1000</v>
      </c>
      <c r="BM89" s="3">
        <f t="shared" si="258"/>
        <v>0</v>
      </c>
      <c r="BN89" s="13" t="s">
        <v>20</v>
      </c>
      <c r="BO89" s="57"/>
      <c r="BP89" s="2">
        <v>3000</v>
      </c>
      <c r="BQ89" s="57"/>
      <c r="BR89" s="57"/>
      <c r="BS89" s="57"/>
      <c r="BT89" s="57"/>
      <c r="BU89" s="57"/>
      <c r="BV89" s="57"/>
      <c r="BW89" s="57"/>
      <c r="BX89" s="57"/>
      <c r="BY89" s="3">
        <f t="shared" si="136"/>
        <v>0</v>
      </c>
      <c r="BZ89" s="57"/>
      <c r="CA89" s="57"/>
      <c r="CB89" s="3">
        <v>5</v>
      </c>
      <c r="CC89" s="3">
        <v>8000</v>
      </c>
      <c r="CD89" s="3">
        <f t="shared" si="200"/>
        <v>40000</v>
      </c>
      <c r="CE89" s="57"/>
      <c r="CF89" s="2">
        <v>30</v>
      </c>
      <c r="CG89" s="2">
        <v>6000</v>
      </c>
      <c r="CH89" s="3">
        <f t="shared" si="201"/>
        <v>180000</v>
      </c>
      <c r="CI89" s="3" t="s">
        <v>139</v>
      </c>
      <c r="CJ89" s="3">
        <v>1</v>
      </c>
      <c r="CK89" s="57"/>
      <c r="CL89" s="3">
        <f t="shared" si="166"/>
        <v>0</v>
      </c>
      <c r="CM89" s="5">
        <f t="shared" si="167"/>
        <v>220000</v>
      </c>
      <c r="CN89" s="3" t="s">
        <v>125</v>
      </c>
      <c r="CO89" s="3">
        <v>0</v>
      </c>
      <c r="CP89" s="3">
        <v>6000</v>
      </c>
      <c r="CQ89" s="3">
        <f t="shared" si="154"/>
        <v>0</v>
      </c>
      <c r="CR89" s="3" t="s">
        <v>125</v>
      </c>
      <c r="CS89" s="3">
        <v>75</v>
      </c>
      <c r="CT89" s="3">
        <v>6000</v>
      </c>
      <c r="CU89" s="3">
        <f t="shared" si="155"/>
        <v>450000</v>
      </c>
      <c r="CV89" s="3" t="s">
        <v>125</v>
      </c>
      <c r="CW89" s="3">
        <v>30</v>
      </c>
      <c r="CX89" s="3">
        <v>6000</v>
      </c>
      <c r="CY89" s="3">
        <f t="shared" si="219"/>
        <v>180000</v>
      </c>
      <c r="CZ89" s="3" t="s">
        <v>125</v>
      </c>
      <c r="DA89" s="3">
        <v>15</v>
      </c>
      <c r="DB89" s="3">
        <v>6000</v>
      </c>
      <c r="DC89" s="3">
        <f t="shared" si="220"/>
        <v>90000</v>
      </c>
      <c r="DD89" s="3" t="s">
        <v>125</v>
      </c>
      <c r="DE89" s="3">
        <v>5</v>
      </c>
      <c r="DF89" s="3">
        <v>6000</v>
      </c>
      <c r="DG89" s="3">
        <f t="shared" ref="DG89:DG91" si="304">DE89*DF89</f>
        <v>30000</v>
      </c>
      <c r="DH89" s="3" t="s">
        <v>125</v>
      </c>
      <c r="DI89" s="3">
        <v>75</v>
      </c>
      <c r="DJ89" s="3">
        <v>6000</v>
      </c>
      <c r="DK89" s="3">
        <f t="shared" si="158"/>
        <v>450000</v>
      </c>
      <c r="DL89" s="3" t="s">
        <v>125</v>
      </c>
      <c r="DM89" s="3"/>
      <c r="DN89" s="3">
        <v>6000</v>
      </c>
      <c r="DO89" s="3">
        <f t="shared" si="159"/>
        <v>0</v>
      </c>
      <c r="DP89" s="3" t="s">
        <v>125</v>
      </c>
      <c r="DQ89" s="3"/>
      <c r="DR89" s="3">
        <v>6000</v>
      </c>
      <c r="DS89" s="3">
        <f t="shared" si="213"/>
        <v>0</v>
      </c>
      <c r="DT89" s="6">
        <f t="shared" si="214"/>
        <v>1200000</v>
      </c>
      <c r="DU89" s="2" t="s">
        <v>157</v>
      </c>
      <c r="DV89" s="3">
        <f>S89</f>
        <v>120</v>
      </c>
      <c r="DW89" s="3">
        <f t="shared" si="190"/>
        <v>3000</v>
      </c>
      <c r="DX89" s="3">
        <f t="shared" si="168"/>
        <v>360000</v>
      </c>
      <c r="DY89" s="3" t="s">
        <v>127</v>
      </c>
      <c r="DZ89" s="3">
        <f t="shared" si="191"/>
        <v>6</v>
      </c>
      <c r="EA89" s="2">
        <v>50000</v>
      </c>
      <c r="EB89" s="3">
        <f t="shared" si="169"/>
        <v>300000</v>
      </c>
      <c r="EC89" s="2" t="s">
        <v>127</v>
      </c>
      <c r="ED89" s="3">
        <f t="shared" si="192"/>
        <v>0</v>
      </c>
      <c r="EE89" s="3">
        <v>80000</v>
      </c>
      <c r="EF89" s="3">
        <f t="shared" si="170"/>
        <v>0</v>
      </c>
      <c r="EG89" s="2" t="s">
        <v>157</v>
      </c>
      <c r="EH89" s="3">
        <f t="shared" si="193"/>
        <v>100</v>
      </c>
      <c r="EI89" s="3">
        <v>6000</v>
      </c>
      <c r="EJ89" s="7">
        <f t="shared" si="124"/>
        <v>600000</v>
      </c>
      <c r="EK89" s="2" t="s">
        <v>157</v>
      </c>
      <c r="EL89" s="13">
        <f t="shared" si="149"/>
        <v>40</v>
      </c>
      <c r="EM89" s="3">
        <v>3000</v>
      </c>
      <c r="EN89" s="3">
        <f t="shared" si="171"/>
        <v>120000</v>
      </c>
      <c r="EO89" s="3" t="s">
        <v>126</v>
      </c>
      <c r="EP89" s="3">
        <f t="shared" si="194"/>
        <v>200</v>
      </c>
      <c r="EQ89" s="3">
        <v>1000</v>
      </c>
      <c r="ER89" s="7">
        <f t="shared" si="195"/>
        <v>200000</v>
      </c>
      <c r="ES89" s="3" t="s">
        <v>124</v>
      </c>
      <c r="ET89" s="2">
        <v>1</v>
      </c>
      <c r="EU89" s="3">
        <v>60000</v>
      </c>
      <c r="EV89" s="3">
        <f t="shared" si="172"/>
        <v>60000</v>
      </c>
      <c r="EW89" s="3" t="s">
        <v>124</v>
      </c>
      <c r="EX89" s="57"/>
      <c r="EY89" s="3">
        <v>60000</v>
      </c>
      <c r="EZ89" s="3">
        <f t="shared" si="173"/>
        <v>0</v>
      </c>
      <c r="FA89" s="3" t="s">
        <v>170</v>
      </c>
      <c r="FB89" s="14"/>
      <c r="FC89" s="3">
        <v>1000</v>
      </c>
      <c r="FD89" s="3">
        <f t="shared" si="174"/>
        <v>0</v>
      </c>
      <c r="FE89" s="3" t="s">
        <v>126</v>
      </c>
      <c r="FF89" s="3">
        <f t="shared" si="196"/>
        <v>0</v>
      </c>
      <c r="FG89" s="3">
        <v>6000</v>
      </c>
      <c r="FH89" s="3">
        <f t="shared" si="175"/>
        <v>0</v>
      </c>
      <c r="FI89" s="1">
        <f>DX89+EB89+EF89+EJ89+EN89+ER89+EZ89+EV89+FD89+FH89</f>
        <v>1640000</v>
      </c>
      <c r="FJ89" s="3" t="s">
        <v>139</v>
      </c>
      <c r="FK89" s="2">
        <v>40</v>
      </c>
      <c r="FL89" s="2">
        <v>6000</v>
      </c>
      <c r="FM89" s="3">
        <f t="shared" si="177"/>
        <v>240000</v>
      </c>
      <c r="FN89" s="3" t="s">
        <v>139</v>
      </c>
      <c r="FO89" s="2"/>
      <c r="FP89" s="3">
        <v>6000</v>
      </c>
      <c r="FQ89" s="3">
        <f t="shared" si="197"/>
        <v>0</v>
      </c>
      <c r="FR89" s="3" t="s">
        <v>139</v>
      </c>
      <c r="FS89" s="13"/>
      <c r="FT89" s="15">
        <v>6000</v>
      </c>
      <c r="FU89" s="3">
        <f t="shared" si="178"/>
        <v>0</v>
      </c>
      <c r="FV89" s="3" t="s">
        <v>139</v>
      </c>
      <c r="FW89" s="14"/>
      <c r="FX89" s="3">
        <v>8000</v>
      </c>
      <c r="FY89" s="3">
        <f t="shared" si="179"/>
        <v>0</v>
      </c>
      <c r="FZ89" s="3" t="s">
        <v>139</v>
      </c>
      <c r="GA89" s="3">
        <v>2</v>
      </c>
      <c r="GB89" s="3">
        <v>8000</v>
      </c>
      <c r="GC89" s="3">
        <f t="shared" si="180"/>
        <v>16000</v>
      </c>
      <c r="GD89" s="3" t="s">
        <v>139</v>
      </c>
      <c r="GE89" s="3">
        <v>10</v>
      </c>
      <c r="GF89" s="3">
        <v>10000</v>
      </c>
      <c r="GG89" s="3">
        <f t="shared" si="181"/>
        <v>100000</v>
      </c>
      <c r="GH89" s="3" t="s">
        <v>139</v>
      </c>
      <c r="GI89" s="57"/>
      <c r="GJ89" s="57"/>
      <c r="GK89" s="3">
        <f t="shared" si="182"/>
        <v>0</v>
      </c>
      <c r="GL89" s="92">
        <f t="shared" si="183"/>
        <v>356000</v>
      </c>
      <c r="GM89" s="8">
        <f t="shared" ref="GM89:GM95" si="305">BZ89+CM89+DT89+FI89+GL89</f>
        <v>3416000</v>
      </c>
      <c r="GN89" s="8">
        <f t="shared" si="185"/>
        <v>1200</v>
      </c>
      <c r="GO89" s="105">
        <v>5000</v>
      </c>
      <c r="GP89" s="8">
        <f t="shared" si="198"/>
        <v>6000000</v>
      </c>
      <c r="GQ89" s="8">
        <f t="shared" si="186"/>
        <v>12500000</v>
      </c>
      <c r="GR89" s="8">
        <f t="shared" si="187"/>
        <v>2584000</v>
      </c>
      <c r="GS89" s="8">
        <f t="shared" si="188"/>
        <v>9084000</v>
      </c>
      <c r="GT89" s="61" t="s">
        <v>1835</v>
      </c>
      <c r="GU89" s="59" t="s">
        <v>1441</v>
      </c>
    </row>
    <row r="90" spans="1:280" s="58" customFormat="1" ht="158.25" customHeight="1">
      <c r="A90" s="44">
        <v>91</v>
      </c>
      <c r="B90" s="23" t="s">
        <v>909</v>
      </c>
      <c r="C90" s="13" t="s">
        <v>1442</v>
      </c>
      <c r="D90" s="13" t="s">
        <v>1443</v>
      </c>
      <c r="E90" s="13" t="s">
        <v>1444</v>
      </c>
      <c r="F90" s="15" t="s">
        <v>1445</v>
      </c>
      <c r="G90" s="15" t="s">
        <v>1446</v>
      </c>
      <c r="H90" s="15" t="s">
        <v>45</v>
      </c>
      <c r="I90" s="61" t="s">
        <v>1447</v>
      </c>
      <c r="J90" s="15" t="s">
        <v>1448</v>
      </c>
      <c r="K90" s="15" t="s">
        <v>1449</v>
      </c>
      <c r="L90" s="15" t="s">
        <v>1450</v>
      </c>
      <c r="M90" s="15" t="s">
        <v>1451</v>
      </c>
      <c r="N90" s="15" t="s">
        <v>1452</v>
      </c>
      <c r="O90" s="15" t="s">
        <v>1453</v>
      </c>
      <c r="P90" s="15" t="s">
        <v>1454</v>
      </c>
      <c r="Q90" s="62" t="s">
        <v>997</v>
      </c>
      <c r="R90" s="15">
        <v>6</v>
      </c>
      <c r="S90" s="15">
        <v>10</v>
      </c>
      <c r="T90" s="15">
        <v>30000</v>
      </c>
      <c r="U90" s="15">
        <v>90</v>
      </c>
      <c r="V90" s="15">
        <v>150</v>
      </c>
      <c r="W90" s="15" t="s">
        <v>1455</v>
      </c>
      <c r="X90" s="15">
        <v>2</v>
      </c>
      <c r="Y90" s="15">
        <v>6</v>
      </c>
      <c r="Z90" s="15" t="s">
        <v>1456</v>
      </c>
      <c r="AA90" s="15" t="s">
        <v>1457</v>
      </c>
      <c r="AB90" s="15" t="s">
        <v>1458</v>
      </c>
      <c r="AC90" s="3">
        <v>50000</v>
      </c>
      <c r="AD90" s="15">
        <v>5</v>
      </c>
      <c r="AE90" s="13"/>
      <c r="AF90" s="3">
        <v>80000</v>
      </c>
      <c r="AG90" s="3">
        <f t="shared" si="211"/>
        <v>250000</v>
      </c>
      <c r="AH90" s="13" t="s">
        <v>1459</v>
      </c>
      <c r="AI90" s="13">
        <v>200</v>
      </c>
      <c r="AJ90" s="15">
        <v>1000</v>
      </c>
      <c r="AK90" s="13">
        <v>100</v>
      </c>
      <c r="AL90" s="15">
        <v>6000</v>
      </c>
      <c r="AM90" s="15">
        <v>30</v>
      </c>
      <c r="AN90" s="15">
        <v>3000</v>
      </c>
      <c r="AO90" s="42"/>
      <c r="AP90" s="15">
        <v>6000</v>
      </c>
      <c r="AQ90" s="2">
        <f t="shared" si="199"/>
        <v>890000</v>
      </c>
      <c r="AR90" s="15" t="s">
        <v>1460</v>
      </c>
      <c r="AS90" s="15" t="s">
        <v>1461</v>
      </c>
      <c r="AT90" s="2" t="s">
        <v>139</v>
      </c>
      <c r="AU90" s="36"/>
      <c r="AV90" s="3">
        <v>6000</v>
      </c>
      <c r="AW90" s="2">
        <f t="shared" si="134"/>
        <v>0</v>
      </c>
      <c r="AX90" s="3" t="s">
        <v>139</v>
      </c>
      <c r="AY90" s="13"/>
      <c r="AZ90" s="3">
        <v>6000</v>
      </c>
      <c r="BA90" s="3">
        <f t="shared" si="164"/>
        <v>0</v>
      </c>
      <c r="BB90" s="3" t="s">
        <v>139</v>
      </c>
      <c r="BC90" s="34"/>
      <c r="BD90" s="3">
        <v>6000</v>
      </c>
      <c r="BE90" s="3">
        <f t="shared" si="165"/>
        <v>0</v>
      </c>
      <c r="BF90" s="3" t="s">
        <v>125</v>
      </c>
      <c r="BG90" s="3"/>
      <c r="BH90" s="3">
        <v>6000</v>
      </c>
      <c r="BI90" s="3">
        <f t="shared" si="215"/>
        <v>0</v>
      </c>
      <c r="BJ90" s="13" t="s">
        <v>20</v>
      </c>
      <c r="BK90" s="14"/>
      <c r="BL90" s="3">
        <v>1000</v>
      </c>
      <c r="BM90" s="3">
        <f t="shared" si="258"/>
        <v>0</v>
      </c>
      <c r="BN90" s="13" t="s">
        <v>20</v>
      </c>
      <c r="BO90" s="57"/>
      <c r="BP90" s="2">
        <v>3000</v>
      </c>
      <c r="BQ90" s="57"/>
      <c r="BR90" s="57"/>
      <c r="BS90" s="57"/>
      <c r="BT90" s="57"/>
      <c r="BU90" s="57"/>
      <c r="BV90" s="57"/>
      <c r="BW90" s="57"/>
      <c r="BX90" s="57"/>
      <c r="BY90" s="3">
        <f t="shared" si="136"/>
        <v>0</v>
      </c>
      <c r="BZ90" s="57"/>
      <c r="CA90" s="57"/>
      <c r="CB90" s="3">
        <v>5</v>
      </c>
      <c r="CC90" s="3">
        <v>8000</v>
      </c>
      <c r="CD90" s="3">
        <f t="shared" si="200"/>
        <v>40000</v>
      </c>
      <c r="CE90" s="57"/>
      <c r="CF90" s="2">
        <v>30</v>
      </c>
      <c r="CG90" s="2">
        <v>6000</v>
      </c>
      <c r="CH90" s="3">
        <f t="shared" si="201"/>
        <v>180000</v>
      </c>
      <c r="CI90" s="3" t="s">
        <v>139</v>
      </c>
      <c r="CJ90" s="3">
        <v>1</v>
      </c>
      <c r="CK90" s="57"/>
      <c r="CL90" s="3">
        <f t="shared" si="166"/>
        <v>0</v>
      </c>
      <c r="CM90" s="5">
        <f t="shared" si="167"/>
        <v>220000</v>
      </c>
      <c r="CN90" s="3" t="s">
        <v>125</v>
      </c>
      <c r="CO90" s="3">
        <v>0</v>
      </c>
      <c r="CP90" s="3">
        <v>6000</v>
      </c>
      <c r="CQ90" s="3">
        <f t="shared" si="154"/>
        <v>0</v>
      </c>
      <c r="CR90" s="3" t="s">
        <v>125</v>
      </c>
      <c r="CS90" s="3">
        <v>75</v>
      </c>
      <c r="CT90" s="3">
        <v>6000</v>
      </c>
      <c r="CU90" s="3">
        <f t="shared" si="155"/>
        <v>450000</v>
      </c>
      <c r="CV90" s="3" t="s">
        <v>125</v>
      </c>
      <c r="CW90" s="3">
        <v>30</v>
      </c>
      <c r="CX90" s="3">
        <v>6000</v>
      </c>
      <c r="CY90" s="3">
        <f t="shared" si="219"/>
        <v>180000</v>
      </c>
      <c r="CZ90" s="3" t="s">
        <v>125</v>
      </c>
      <c r="DA90" s="3">
        <v>15</v>
      </c>
      <c r="DB90" s="3">
        <v>6000</v>
      </c>
      <c r="DC90" s="3">
        <f t="shared" si="220"/>
        <v>90000</v>
      </c>
      <c r="DD90" s="3" t="s">
        <v>125</v>
      </c>
      <c r="DE90" s="3">
        <v>5</v>
      </c>
      <c r="DF90" s="3">
        <v>6000</v>
      </c>
      <c r="DG90" s="3">
        <f t="shared" si="304"/>
        <v>30000</v>
      </c>
      <c r="DH90" s="3" t="s">
        <v>125</v>
      </c>
      <c r="DI90" s="3">
        <v>75</v>
      </c>
      <c r="DJ90" s="3">
        <v>6000</v>
      </c>
      <c r="DK90" s="3">
        <f t="shared" si="158"/>
        <v>450000</v>
      </c>
      <c r="DL90" s="3" t="s">
        <v>125</v>
      </c>
      <c r="DM90" s="3"/>
      <c r="DN90" s="3">
        <v>6000</v>
      </c>
      <c r="DO90" s="3">
        <f t="shared" si="159"/>
        <v>0</v>
      </c>
      <c r="DP90" s="3" t="s">
        <v>125</v>
      </c>
      <c r="DQ90" s="3"/>
      <c r="DR90" s="3">
        <v>6000</v>
      </c>
      <c r="DS90" s="3">
        <f t="shared" si="213"/>
        <v>0</v>
      </c>
      <c r="DT90" s="6">
        <f t="shared" si="214"/>
        <v>1200000</v>
      </c>
      <c r="DU90" s="2" t="s">
        <v>157</v>
      </c>
      <c r="DV90" s="3">
        <f t="shared" ref="DV90:DV91" si="306">S90</f>
        <v>10</v>
      </c>
      <c r="DW90" s="3">
        <f t="shared" si="190"/>
        <v>30000</v>
      </c>
      <c r="DX90" s="3">
        <f t="shared" si="168"/>
        <v>300000</v>
      </c>
      <c r="DY90" s="3" t="s">
        <v>127</v>
      </c>
      <c r="DZ90" s="3">
        <f t="shared" si="191"/>
        <v>5</v>
      </c>
      <c r="EA90" s="2">
        <v>50000</v>
      </c>
      <c r="EB90" s="3">
        <f t="shared" si="169"/>
        <v>250000</v>
      </c>
      <c r="EC90" s="2" t="s">
        <v>127</v>
      </c>
      <c r="ED90" s="3">
        <f t="shared" si="192"/>
        <v>0</v>
      </c>
      <c r="EE90" s="3">
        <v>80000</v>
      </c>
      <c r="EF90" s="3">
        <f t="shared" si="170"/>
        <v>0</v>
      </c>
      <c r="EG90" s="2" t="s">
        <v>157</v>
      </c>
      <c r="EH90" s="3">
        <f t="shared" si="193"/>
        <v>100</v>
      </c>
      <c r="EI90" s="3">
        <v>6000</v>
      </c>
      <c r="EJ90" s="7">
        <f t="shared" si="124"/>
        <v>600000</v>
      </c>
      <c r="EK90" s="2" t="s">
        <v>157</v>
      </c>
      <c r="EL90" s="13">
        <f t="shared" si="149"/>
        <v>30</v>
      </c>
      <c r="EM90" s="3">
        <v>3000</v>
      </c>
      <c r="EN90" s="3">
        <f t="shared" si="171"/>
        <v>90000</v>
      </c>
      <c r="EO90" s="3" t="s">
        <v>126</v>
      </c>
      <c r="EP90" s="3">
        <f t="shared" si="194"/>
        <v>200</v>
      </c>
      <c r="EQ90" s="3">
        <v>1000</v>
      </c>
      <c r="ER90" s="7">
        <f t="shared" si="195"/>
        <v>200000</v>
      </c>
      <c r="ES90" s="3" t="s">
        <v>124</v>
      </c>
      <c r="ET90" s="2">
        <v>1</v>
      </c>
      <c r="EU90" s="3">
        <v>60000</v>
      </c>
      <c r="EV90" s="3">
        <f t="shared" si="172"/>
        <v>60000</v>
      </c>
      <c r="EW90" s="3" t="s">
        <v>124</v>
      </c>
      <c r="EX90" s="57"/>
      <c r="EY90" s="3">
        <v>60000</v>
      </c>
      <c r="EZ90" s="3">
        <f t="shared" si="173"/>
        <v>0</v>
      </c>
      <c r="FA90" s="3" t="s">
        <v>170</v>
      </c>
      <c r="FB90" s="14"/>
      <c r="FC90" s="3">
        <v>1000</v>
      </c>
      <c r="FD90" s="3">
        <f t="shared" si="174"/>
        <v>0</v>
      </c>
      <c r="FE90" s="3" t="s">
        <v>126</v>
      </c>
      <c r="FF90" s="3">
        <f t="shared" si="196"/>
        <v>0</v>
      </c>
      <c r="FG90" s="3">
        <v>6000</v>
      </c>
      <c r="FH90" s="3">
        <f t="shared" si="175"/>
        <v>0</v>
      </c>
      <c r="FI90" s="1">
        <f t="shared" si="176"/>
        <v>1500000</v>
      </c>
      <c r="FJ90" s="3" t="s">
        <v>139</v>
      </c>
      <c r="FK90" s="2">
        <v>40</v>
      </c>
      <c r="FL90" s="2">
        <v>6000</v>
      </c>
      <c r="FM90" s="3">
        <f t="shared" si="177"/>
        <v>240000</v>
      </c>
      <c r="FN90" s="3" t="s">
        <v>139</v>
      </c>
      <c r="FO90" s="2"/>
      <c r="FP90" s="3">
        <v>6000</v>
      </c>
      <c r="FQ90" s="3">
        <f t="shared" si="197"/>
        <v>0</v>
      </c>
      <c r="FR90" s="3" t="s">
        <v>139</v>
      </c>
      <c r="FS90" s="13"/>
      <c r="FT90" s="15">
        <v>6000</v>
      </c>
      <c r="FU90" s="3">
        <f t="shared" si="178"/>
        <v>0</v>
      </c>
      <c r="FV90" s="3" t="s">
        <v>139</v>
      </c>
      <c r="FW90" s="14"/>
      <c r="FX90" s="3">
        <v>8000</v>
      </c>
      <c r="FY90" s="3">
        <f t="shared" si="179"/>
        <v>0</v>
      </c>
      <c r="FZ90" s="3" t="s">
        <v>139</v>
      </c>
      <c r="GA90" s="3">
        <v>2</v>
      </c>
      <c r="GB90" s="3">
        <v>8000</v>
      </c>
      <c r="GC90" s="3">
        <f t="shared" si="180"/>
        <v>16000</v>
      </c>
      <c r="GD90" s="3" t="s">
        <v>139</v>
      </c>
      <c r="GE90" s="3">
        <v>10</v>
      </c>
      <c r="GF90" s="3">
        <v>10000</v>
      </c>
      <c r="GG90" s="3">
        <f t="shared" si="181"/>
        <v>100000</v>
      </c>
      <c r="GH90" s="3" t="s">
        <v>139</v>
      </c>
      <c r="GI90" s="57"/>
      <c r="GJ90" s="57"/>
      <c r="GK90" s="3">
        <f t="shared" si="182"/>
        <v>0</v>
      </c>
      <c r="GL90" s="92">
        <f t="shared" si="183"/>
        <v>356000</v>
      </c>
      <c r="GM90" s="8">
        <f t="shared" si="305"/>
        <v>3276000</v>
      </c>
      <c r="GN90" s="8">
        <f t="shared" si="185"/>
        <v>2000</v>
      </c>
      <c r="GO90" s="105">
        <v>3000</v>
      </c>
      <c r="GP90" s="8">
        <f t="shared" si="198"/>
        <v>6000000</v>
      </c>
      <c r="GQ90" s="8">
        <f t="shared" si="186"/>
        <v>18000000</v>
      </c>
      <c r="GR90" s="8">
        <f t="shared" si="187"/>
        <v>2724000</v>
      </c>
      <c r="GS90" s="8">
        <f t="shared" si="188"/>
        <v>14724000</v>
      </c>
      <c r="GT90" s="61" t="s">
        <v>1836</v>
      </c>
      <c r="GU90" s="59" t="s">
        <v>1462</v>
      </c>
    </row>
    <row r="91" spans="1:280" s="58" customFormat="1" ht="158.25" customHeight="1">
      <c r="A91" s="44">
        <v>92</v>
      </c>
      <c r="B91" s="23" t="s">
        <v>910</v>
      </c>
      <c r="C91" s="13" t="s">
        <v>1463</v>
      </c>
      <c r="D91" s="13" t="s">
        <v>911</v>
      </c>
      <c r="E91" s="13" t="s">
        <v>1464</v>
      </c>
      <c r="F91" s="15" t="s">
        <v>1465</v>
      </c>
      <c r="G91" s="13" t="s">
        <v>1466</v>
      </c>
      <c r="H91" s="15" t="s">
        <v>45</v>
      </c>
      <c r="I91" s="61" t="s">
        <v>1467</v>
      </c>
      <c r="J91" s="15" t="s">
        <v>1468</v>
      </c>
      <c r="K91" s="15" t="s">
        <v>1469</v>
      </c>
      <c r="L91" s="15" t="s">
        <v>1470</v>
      </c>
      <c r="M91" s="15" t="s">
        <v>1471</v>
      </c>
      <c r="N91" s="15" t="s">
        <v>1472</v>
      </c>
      <c r="O91" s="15" t="s">
        <v>1473</v>
      </c>
      <c r="P91" s="15" t="s">
        <v>1474</v>
      </c>
      <c r="Q91" s="62" t="s">
        <v>997</v>
      </c>
      <c r="R91" s="15">
        <v>60</v>
      </c>
      <c r="S91" s="15">
        <v>80</v>
      </c>
      <c r="T91" s="13">
        <v>2500</v>
      </c>
      <c r="U91" s="13">
        <v>85</v>
      </c>
      <c r="V91" s="13">
        <v>110</v>
      </c>
      <c r="W91" s="15" t="s">
        <v>1475</v>
      </c>
      <c r="X91" s="15">
        <v>1</v>
      </c>
      <c r="Y91" s="15">
        <v>2</v>
      </c>
      <c r="Z91" s="15" t="s">
        <v>1476</v>
      </c>
      <c r="AA91" s="15" t="s">
        <v>1477</v>
      </c>
      <c r="AB91" s="15" t="s">
        <v>1478</v>
      </c>
      <c r="AC91" s="3">
        <v>50000</v>
      </c>
      <c r="AD91" s="13">
        <v>6</v>
      </c>
      <c r="AE91" s="13"/>
      <c r="AF91" s="3">
        <v>80000</v>
      </c>
      <c r="AG91" s="3">
        <f t="shared" si="211"/>
        <v>300000</v>
      </c>
      <c r="AH91" s="15" t="s">
        <v>2015</v>
      </c>
      <c r="AI91" s="13">
        <v>100</v>
      </c>
      <c r="AJ91" s="15">
        <v>1000</v>
      </c>
      <c r="AK91" s="13">
        <v>50</v>
      </c>
      <c r="AL91" s="15">
        <v>6000</v>
      </c>
      <c r="AM91" s="15"/>
      <c r="AN91" s="15">
        <v>3000</v>
      </c>
      <c r="AO91" s="42"/>
      <c r="AP91" s="15">
        <v>6000</v>
      </c>
      <c r="AQ91" s="2">
        <f t="shared" si="199"/>
        <v>400000</v>
      </c>
      <c r="AR91" s="15" t="s">
        <v>1479</v>
      </c>
      <c r="AS91" s="15" t="s">
        <v>1480</v>
      </c>
      <c r="AT91" s="2" t="s">
        <v>139</v>
      </c>
      <c r="AU91" s="36"/>
      <c r="AV91" s="3">
        <v>6000</v>
      </c>
      <c r="AW91" s="2">
        <f t="shared" si="134"/>
        <v>0</v>
      </c>
      <c r="AX91" s="3" t="s">
        <v>139</v>
      </c>
      <c r="AY91" s="13"/>
      <c r="AZ91" s="3">
        <v>6000</v>
      </c>
      <c r="BA91" s="3">
        <f t="shared" si="164"/>
        <v>0</v>
      </c>
      <c r="BB91" s="3" t="s">
        <v>139</v>
      </c>
      <c r="BC91" s="57"/>
      <c r="BD91" s="3">
        <v>6000</v>
      </c>
      <c r="BE91" s="3">
        <f t="shared" si="165"/>
        <v>0</v>
      </c>
      <c r="BF91" s="3" t="s">
        <v>125</v>
      </c>
      <c r="BG91" s="3"/>
      <c r="BH91" s="3">
        <v>6000</v>
      </c>
      <c r="BI91" s="3">
        <f t="shared" si="215"/>
        <v>0</v>
      </c>
      <c r="BJ91" s="13" t="s">
        <v>20</v>
      </c>
      <c r="BK91" s="14"/>
      <c r="BL91" s="3">
        <v>1000</v>
      </c>
      <c r="BM91" s="3">
        <f t="shared" si="258"/>
        <v>0</v>
      </c>
      <c r="BN91" s="13" t="s">
        <v>20</v>
      </c>
      <c r="BO91" s="57"/>
      <c r="BP91" s="2">
        <v>3000</v>
      </c>
      <c r="BQ91" s="57"/>
      <c r="BR91" s="57"/>
      <c r="BS91" s="57"/>
      <c r="BT91" s="57"/>
      <c r="BU91" s="57"/>
      <c r="BV91" s="57"/>
      <c r="BW91" s="57"/>
      <c r="BX91" s="57"/>
      <c r="BY91" s="3">
        <f t="shared" si="136"/>
        <v>0</v>
      </c>
      <c r="BZ91" s="57"/>
      <c r="CA91" s="57"/>
      <c r="CB91" s="3">
        <v>5</v>
      </c>
      <c r="CC91" s="3">
        <v>8000</v>
      </c>
      <c r="CD91" s="3">
        <f t="shared" si="200"/>
        <v>40000</v>
      </c>
      <c r="CE91" s="57"/>
      <c r="CF91" s="2">
        <v>30</v>
      </c>
      <c r="CG91" s="2">
        <v>6000</v>
      </c>
      <c r="CH91" s="3">
        <f t="shared" si="201"/>
        <v>180000</v>
      </c>
      <c r="CI91" s="3" t="s">
        <v>139</v>
      </c>
      <c r="CJ91" s="3">
        <v>1</v>
      </c>
      <c r="CK91" s="57"/>
      <c r="CL91" s="3">
        <f t="shared" si="166"/>
        <v>0</v>
      </c>
      <c r="CM91" s="5">
        <f t="shared" si="167"/>
        <v>220000</v>
      </c>
      <c r="CN91" s="3" t="s">
        <v>125</v>
      </c>
      <c r="CO91" s="3">
        <v>0</v>
      </c>
      <c r="CP91" s="3">
        <v>6000</v>
      </c>
      <c r="CQ91" s="3">
        <f t="shared" si="154"/>
        <v>0</v>
      </c>
      <c r="CR91" s="3" t="s">
        <v>125</v>
      </c>
      <c r="CS91" s="3">
        <v>75</v>
      </c>
      <c r="CT91" s="3">
        <v>6000</v>
      </c>
      <c r="CU91" s="3">
        <f t="shared" si="155"/>
        <v>450000</v>
      </c>
      <c r="CV91" s="3" t="s">
        <v>125</v>
      </c>
      <c r="CW91" s="3">
        <v>30</v>
      </c>
      <c r="CX91" s="3">
        <v>6000</v>
      </c>
      <c r="CY91" s="3">
        <f t="shared" si="219"/>
        <v>180000</v>
      </c>
      <c r="CZ91" s="3" t="s">
        <v>125</v>
      </c>
      <c r="DA91" s="3">
        <v>15</v>
      </c>
      <c r="DB91" s="3">
        <v>6000</v>
      </c>
      <c r="DC91" s="3">
        <f t="shared" si="220"/>
        <v>90000</v>
      </c>
      <c r="DD91" s="3" t="s">
        <v>125</v>
      </c>
      <c r="DE91" s="3">
        <v>5</v>
      </c>
      <c r="DF91" s="3">
        <v>6000</v>
      </c>
      <c r="DG91" s="3">
        <f t="shared" si="304"/>
        <v>30000</v>
      </c>
      <c r="DH91" s="3" t="s">
        <v>125</v>
      </c>
      <c r="DI91" s="3">
        <v>50</v>
      </c>
      <c r="DJ91" s="3">
        <v>6000</v>
      </c>
      <c r="DK91" s="3">
        <f t="shared" si="158"/>
        <v>300000</v>
      </c>
      <c r="DL91" s="3" t="s">
        <v>125</v>
      </c>
      <c r="DM91" s="3"/>
      <c r="DN91" s="3">
        <v>6000</v>
      </c>
      <c r="DO91" s="3">
        <f t="shared" si="159"/>
        <v>0</v>
      </c>
      <c r="DP91" s="3" t="s">
        <v>125</v>
      </c>
      <c r="DQ91" s="3"/>
      <c r="DR91" s="3">
        <v>6000</v>
      </c>
      <c r="DS91" s="3">
        <f t="shared" si="213"/>
        <v>0</v>
      </c>
      <c r="DT91" s="6">
        <f t="shared" si="214"/>
        <v>1050000</v>
      </c>
      <c r="DU91" s="2" t="s">
        <v>157</v>
      </c>
      <c r="DV91" s="3">
        <f t="shared" si="306"/>
        <v>80</v>
      </c>
      <c r="DW91" s="3">
        <f t="shared" si="190"/>
        <v>2500</v>
      </c>
      <c r="DX91" s="3">
        <f t="shared" si="168"/>
        <v>200000</v>
      </c>
      <c r="DY91" s="3" t="s">
        <v>127</v>
      </c>
      <c r="DZ91" s="3">
        <f t="shared" si="191"/>
        <v>6</v>
      </c>
      <c r="EA91" s="2">
        <v>50000</v>
      </c>
      <c r="EB91" s="3">
        <f t="shared" si="169"/>
        <v>300000</v>
      </c>
      <c r="EC91" s="2" t="s">
        <v>127</v>
      </c>
      <c r="ED91" s="3">
        <f t="shared" si="192"/>
        <v>0</v>
      </c>
      <c r="EE91" s="3">
        <v>80000</v>
      </c>
      <c r="EF91" s="3">
        <f t="shared" si="170"/>
        <v>0</v>
      </c>
      <c r="EG91" s="2" t="s">
        <v>157</v>
      </c>
      <c r="EH91" s="3">
        <f t="shared" si="193"/>
        <v>50</v>
      </c>
      <c r="EI91" s="3">
        <v>6000</v>
      </c>
      <c r="EJ91" s="7">
        <f t="shared" si="124"/>
        <v>300000</v>
      </c>
      <c r="EK91" s="2" t="s">
        <v>157</v>
      </c>
      <c r="EL91" s="13">
        <f t="shared" si="149"/>
        <v>0</v>
      </c>
      <c r="EM91" s="3">
        <v>3000</v>
      </c>
      <c r="EN91" s="3">
        <f t="shared" si="171"/>
        <v>0</v>
      </c>
      <c r="EO91" s="3" t="s">
        <v>126</v>
      </c>
      <c r="EP91" s="3">
        <f t="shared" si="194"/>
        <v>100</v>
      </c>
      <c r="EQ91" s="3">
        <v>1000</v>
      </c>
      <c r="ER91" s="7">
        <f t="shared" si="195"/>
        <v>100000</v>
      </c>
      <c r="ES91" s="3" t="s">
        <v>124</v>
      </c>
      <c r="ET91" s="2">
        <v>1</v>
      </c>
      <c r="EU91" s="3">
        <v>60000</v>
      </c>
      <c r="EV91" s="3">
        <f t="shared" si="172"/>
        <v>60000</v>
      </c>
      <c r="EW91" s="3" t="s">
        <v>124</v>
      </c>
      <c r="EX91" s="57"/>
      <c r="EY91" s="3">
        <v>60000</v>
      </c>
      <c r="EZ91" s="3">
        <f t="shared" si="173"/>
        <v>0</v>
      </c>
      <c r="FA91" s="3" t="s">
        <v>170</v>
      </c>
      <c r="FB91" s="14"/>
      <c r="FC91" s="3">
        <v>1000</v>
      </c>
      <c r="FD91" s="3">
        <f t="shared" si="174"/>
        <v>0</v>
      </c>
      <c r="FE91" s="3" t="s">
        <v>126</v>
      </c>
      <c r="FF91" s="3">
        <f t="shared" si="196"/>
        <v>0</v>
      </c>
      <c r="FG91" s="3">
        <v>6000</v>
      </c>
      <c r="FH91" s="3">
        <f t="shared" si="175"/>
        <v>0</v>
      </c>
      <c r="FI91" s="1">
        <f>DX91+EB91+EF91+EJ91+EN91+ER91+EZ91+EV91+FD91+FH91</f>
        <v>960000</v>
      </c>
      <c r="FJ91" s="3" t="s">
        <v>139</v>
      </c>
      <c r="FK91" s="2">
        <v>40</v>
      </c>
      <c r="FL91" s="2">
        <v>6000</v>
      </c>
      <c r="FM91" s="3">
        <f t="shared" si="177"/>
        <v>240000</v>
      </c>
      <c r="FN91" s="3" t="s">
        <v>139</v>
      </c>
      <c r="FO91" s="2"/>
      <c r="FP91" s="3">
        <v>6000</v>
      </c>
      <c r="FQ91" s="3">
        <f t="shared" si="197"/>
        <v>0</v>
      </c>
      <c r="FR91" s="3" t="s">
        <v>139</v>
      </c>
      <c r="FS91" s="13"/>
      <c r="FT91" s="15">
        <v>6000</v>
      </c>
      <c r="FU91" s="3">
        <f t="shared" si="178"/>
        <v>0</v>
      </c>
      <c r="FV91" s="3" t="s">
        <v>139</v>
      </c>
      <c r="FW91" s="14"/>
      <c r="FX91" s="3">
        <v>8000</v>
      </c>
      <c r="FY91" s="3">
        <f t="shared" si="179"/>
        <v>0</v>
      </c>
      <c r="FZ91" s="3" t="s">
        <v>139</v>
      </c>
      <c r="GA91" s="3">
        <v>2</v>
      </c>
      <c r="GB91" s="3">
        <v>8000</v>
      </c>
      <c r="GC91" s="3">
        <f t="shared" si="180"/>
        <v>16000</v>
      </c>
      <c r="GD91" s="3" t="s">
        <v>139</v>
      </c>
      <c r="GE91" s="3">
        <v>10</v>
      </c>
      <c r="GF91" s="3">
        <v>10000</v>
      </c>
      <c r="GG91" s="3">
        <f t="shared" si="181"/>
        <v>100000</v>
      </c>
      <c r="GH91" s="3" t="s">
        <v>139</v>
      </c>
      <c r="GI91" s="57"/>
      <c r="GJ91" s="57"/>
      <c r="GK91" s="3">
        <f t="shared" si="182"/>
        <v>0</v>
      </c>
      <c r="GL91" s="92">
        <f t="shared" si="183"/>
        <v>356000</v>
      </c>
      <c r="GM91" s="8">
        <f t="shared" si="305"/>
        <v>2586000</v>
      </c>
      <c r="GN91" s="8">
        <f t="shared" si="185"/>
        <v>1000</v>
      </c>
      <c r="GO91" s="105">
        <v>3500</v>
      </c>
      <c r="GP91" s="8">
        <f t="shared" si="198"/>
        <v>3500000</v>
      </c>
      <c r="GQ91" s="8">
        <f t="shared" si="186"/>
        <v>7000000</v>
      </c>
      <c r="GR91" s="8">
        <f t="shared" si="187"/>
        <v>914000</v>
      </c>
      <c r="GS91" s="8">
        <f t="shared" si="188"/>
        <v>4414000</v>
      </c>
      <c r="GT91" s="61" t="s">
        <v>1837</v>
      </c>
      <c r="GU91" s="59" t="s">
        <v>1481</v>
      </c>
    </row>
    <row r="92" spans="1:280" s="54" customFormat="1" ht="158.25" customHeight="1">
      <c r="A92" s="44">
        <v>93</v>
      </c>
      <c r="B92" s="18" t="s">
        <v>932</v>
      </c>
      <c r="C92" s="15" t="s">
        <v>1558</v>
      </c>
      <c r="D92" s="15" t="s">
        <v>1559</v>
      </c>
      <c r="E92" s="15" t="s">
        <v>932</v>
      </c>
      <c r="F92" s="15" t="s">
        <v>932</v>
      </c>
      <c r="G92" s="15" t="s">
        <v>1560</v>
      </c>
      <c r="H92" s="15" t="s">
        <v>815</v>
      </c>
      <c r="I92" s="15" t="s">
        <v>1561</v>
      </c>
      <c r="J92" s="15" t="s">
        <v>1562</v>
      </c>
      <c r="K92" s="15" t="s">
        <v>1563</v>
      </c>
      <c r="L92" s="15" t="s">
        <v>1564</v>
      </c>
      <c r="M92" s="15" t="s">
        <v>1565</v>
      </c>
      <c r="N92" s="15" t="s">
        <v>1566</v>
      </c>
      <c r="O92" s="15" t="s">
        <v>1567</v>
      </c>
      <c r="P92" s="15" t="s">
        <v>1568</v>
      </c>
      <c r="Q92" s="15" t="s">
        <v>1180</v>
      </c>
      <c r="R92" s="15">
        <v>40000</v>
      </c>
      <c r="S92" s="15">
        <v>60000</v>
      </c>
      <c r="T92" s="15">
        <v>150</v>
      </c>
      <c r="U92" s="15">
        <v>90</v>
      </c>
      <c r="V92" s="15">
        <v>120</v>
      </c>
      <c r="W92" s="15" t="s">
        <v>1569</v>
      </c>
      <c r="X92" s="15">
        <v>1</v>
      </c>
      <c r="Y92" s="15">
        <v>3</v>
      </c>
      <c r="Z92" s="15" t="s">
        <v>1570</v>
      </c>
      <c r="AA92" s="15" t="s">
        <v>1571</v>
      </c>
      <c r="AB92" s="15" t="s">
        <v>1572</v>
      </c>
      <c r="AC92" s="3">
        <v>50000</v>
      </c>
      <c r="AD92" s="15">
        <v>5</v>
      </c>
      <c r="AE92" s="15"/>
      <c r="AF92" s="3">
        <v>80000</v>
      </c>
      <c r="AG92" s="3">
        <f t="shared" si="211"/>
        <v>250000</v>
      </c>
      <c r="AH92" s="15" t="s">
        <v>1574</v>
      </c>
      <c r="AI92" s="15">
        <v>400</v>
      </c>
      <c r="AJ92" s="15">
        <v>1000</v>
      </c>
      <c r="AK92" s="15">
        <v>150</v>
      </c>
      <c r="AL92" s="15">
        <v>6000</v>
      </c>
      <c r="AM92" s="15">
        <v>50</v>
      </c>
      <c r="AN92" s="15">
        <v>3000</v>
      </c>
      <c r="AO92" s="19"/>
      <c r="AP92" s="15">
        <v>6000</v>
      </c>
      <c r="AQ92" s="2">
        <f t="shared" si="199"/>
        <v>1450000</v>
      </c>
      <c r="AR92" s="15" t="s">
        <v>1575</v>
      </c>
      <c r="AS92" s="15" t="s">
        <v>1576</v>
      </c>
      <c r="AT92" s="2" t="s">
        <v>139</v>
      </c>
      <c r="AU92" s="13">
        <v>7.5</v>
      </c>
      <c r="AV92" s="3">
        <v>6000</v>
      </c>
      <c r="AW92" s="2">
        <f t="shared" si="134"/>
        <v>45000</v>
      </c>
      <c r="AX92" s="2" t="s">
        <v>139</v>
      </c>
      <c r="AY92" s="13">
        <v>5</v>
      </c>
      <c r="AZ92" s="3">
        <v>6000</v>
      </c>
      <c r="BA92" s="2">
        <f t="shared" si="164"/>
        <v>30000</v>
      </c>
      <c r="BB92" s="2" t="s">
        <v>139</v>
      </c>
      <c r="BC92" s="13">
        <v>2</v>
      </c>
      <c r="BD92" s="3">
        <v>6000</v>
      </c>
      <c r="BE92" s="3">
        <f t="shared" si="165"/>
        <v>12000</v>
      </c>
      <c r="BF92" s="3" t="s">
        <v>125</v>
      </c>
      <c r="BG92" s="2">
        <v>2</v>
      </c>
      <c r="BH92" s="3">
        <v>6000</v>
      </c>
      <c r="BI92" s="3">
        <f t="shared" si="215"/>
        <v>12000</v>
      </c>
      <c r="BJ92" s="3" t="s">
        <v>126</v>
      </c>
      <c r="BK92" s="13"/>
      <c r="BL92" s="3">
        <v>1000</v>
      </c>
      <c r="BM92" s="3">
        <f t="shared" si="258"/>
        <v>0</v>
      </c>
      <c r="BN92" s="13" t="s">
        <v>20</v>
      </c>
      <c r="BO92" s="13"/>
      <c r="BP92" s="2">
        <v>3000</v>
      </c>
      <c r="BQ92" s="3">
        <f>BO92*BP92</f>
        <v>0</v>
      </c>
      <c r="BR92" s="2" t="s">
        <v>126</v>
      </c>
      <c r="BS92" s="13"/>
      <c r="BT92" s="2">
        <f>6000</f>
        <v>6000</v>
      </c>
      <c r="BU92" s="3">
        <f t="shared" ref="BU92" si="307">BS92*BT92</f>
        <v>0</v>
      </c>
      <c r="BV92" s="2" t="s">
        <v>126</v>
      </c>
      <c r="BW92" s="13">
        <v>9</v>
      </c>
      <c r="BX92" s="2">
        <v>6000</v>
      </c>
      <c r="BY92" s="3">
        <f t="shared" si="136"/>
        <v>54000</v>
      </c>
      <c r="BZ92" s="92">
        <f t="shared" ref="BZ92" si="308">AW92+BE92+BM92+BQ92+BU92+BI92+BY92</f>
        <v>123000</v>
      </c>
      <c r="CA92" s="15"/>
      <c r="CB92" s="3">
        <v>5</v>
      </c>
      <c r="CC92" s="3">
        <v>8000</v>
      </c>
      <c r="CD92" s="3">
        <f t="shared" si="200"/>
        <v>40000</v>
      </c>
      <c r="CE92" s="3" t="s">
        <v>125</v>
      </c>
      <c r="CF92" s="3">
        <v>30</v>
      </c>
      <c r="CG92" s="3">
        <v>6000</v>
      </c>
      <c r="CH92" s="3">
        <f t="shared" si="201"/>
        <v>180000</v>
      </c>
      <c r="CI92" s="3" t="s">
        <v>139</v>
      </c>
      <c r="CJ92" s="3">
        <v>1</v>
      </c>
      <c r="CK92" s="15"/>
      <c r="CL92" s="3">
        <f t="shared" si="166"/>
        <v>0</v>
      </c>
      <c r="CM92" s="8">
        <f t="shared" si="167"/>
        <v>220000</v>
      </c>
      <c r="CN92" s="3" t="s">
        <v>125</v>
      </c>
      <c r="CO92" s="3">
        <v>0</v>
      </c>
      <c r="CP92" s="3">
        <v>6000</v>
      </c>
      <c r="CQ92" s="3">
        <f t="shared" ref="CQ92:CQ97" si="309">CO92*CP92</f>
        <v>0</v>
      </c>
      <c r="CR92" s="3" t="s">
        <v>125</v>
      </c>
      <c r="CS92" s="3">
        <v>75</v>
      </c>
      <c r="CT92" s="3">
        <v>6000</v>
      </c>
      <c r="CU92" s="3">
        <f t="shared" ref="CU92:CU97" si="310">CS92*CT92</f>
        <v>450000</v>
      </c>
      <c r="CV92" s="3" t="s">
        <v>125</v>
      </c>
      <c r="CW92" s="3">
        <v>30</v>
      </c>
      <c r="CX92" s="3">
        <v>6000</v>
      </c>
      <c r="CY92" s="3">
        <f t="shared" ref="CY92:CY97" si="311">CW92*CX92</f>
        <v>180000</v>
      </c>
      <c r="CZ92" s="3" t="s">
        <v>125</v>
      </c>
      <c r="DA92" s="3">
        <v>15</v>
      </c>
      <c r="DB92" s="3">
        <v>6000</v>
      </c>
      <c r="DC92" s="3">
        <f t="shared" ref="DC92:DC97" si="312">DA92*DB92</f>
        <v>90000</v>
      </c>
      <c r="DD92" s="3" t="s">
        <v>125</v>
      </c>
      <c r="DE92" s="3">
        <v>5</v>
      </c>
      <c r="DF92" s="3">
        <v>6000</v>
      </c>
      <c r="DG92" s="3">
        <f t="shared" ref="DG92:DG97" si="313">DE92*DF92</f>
        <v>30000</v>
      </c>
      <c r="DH92" s="3" t="s">
        <v>125</v>
      </c>
      <c r="DI92" s="3">
        <v>100</v>
      </c>
      <c r="DJ92" s="3">
        <v>6000</v>
      </c>
      <c r="DK92" s="3">
        <f t="shared" ref="DK92:DK97" si="314">DI92*DJ92</f>
        <v>600000</v>
      </c>
      <c r="DL92" s="3" t="s">
        <v>125</v>
      </c>
      <c r="DM92" s="3"/>
      <c r="DN92" s="3">
        <v>6000</v>
      </c>
      <c r="DO92" s="3">
        <f t="shared" ref="DO92:DO97" si="315">DM92*DN92</f>
        <v>0</v>
      </c>
      <c r="DP92" s="3" t="s">
        <v>125</v>
      </c>
      <c r="DQ92" s="3"/>
      <c r="DR92" s="3">
        <v>6000</v>
      </c>
      <c r="DS92" s="3">
        <f t="shared" ref="DS92:DS97" si="316">DQ92*DR92</f>
        <v>0</v>
      </c>
      <c r="DT92" s="6">
        <f t="shared" ref="DT92:DT97" si="317">CQ92+CU92+CY92+DC92+DG92+DK92+DO92+DS92</f>
        <v>1350000</v>
      </c>
      <c r="DU92" s="3" t="s">
        <v>157</v>
      </c>
      <c r="DV92" s="3">
        <f>S92</f>
        <v>60000</v>
      </c>
      <c r="DW92" s="3">
        <f t="shared" si="190"/>
        <v>150</v>
      </c>
      <c r="DX92" s="3">
        <f t="shared" si="168"/>
        <v>9000000</v>
      </c>
      <c r="DY92" s="3" t="s">
        <v>127</v>
      </c>
      <c r="DZ92" s="3">
        <f t="shared" si="191"/>
        <v>5</v>
      </c>
      <c r="EA92" s="3">
        <v>50000</v>
      </c>
      <c r="EB92" s="3">
        <f t="shared" si="169"/>
        <v>250000</v>
      </c>
      <c r="EC92" s="3" t="s">
        <v>127</v>
      </c>
      <c r="ED92" s="3">
        <f t="shared" si="192"/>
        <v>0</v>
      </c>
      <c r="EE92" s="3">
        <v>80000</v>
      </c>
      <c r="EF92" s="3">
        <f t="shared" si="170"/>
        <v>0</v>
      </c>
      <c r="EG92" s="3" t="s">
        <v>157</v>
      </c>
      <c r="EH92" s="3">
        <f t="shared" si="193"/>
        <v>150</v>
      </c>
      <c r="EI92" s="3">
        <v>6000</v>
      </c>
      <c r="EJ92" s="7">
        <f t="shared" si="124"/>
        <v>900000</v>
      </c>
      <c r="EK92" s="3" t="s">
        <v>157</v>
      </c>
      <c r="EL92" s="15">
        <f t="shared" si="149"/>
        <v>50</v>
      </c>
      <c r="EM92" s="3">
        <v>3000</v>
      </c>
      <c r="EN92" s="3">
        <f t="shared" si="171"/>
        <v>150000</v>
      </c>
      <c r="EO92" s="3" t="s">
        <v>126</v>
      </c>
      <c r="EP92" s="3">
        <f t="shared" si="194"/>
        <v>400</v>
      </c>
      <c r="EQ92" s="3">
        <v>1000</v>
      </c>
      <c r="ER92" s="7">
        <f t="shared" si="195"/>
        <v>400000</v>
      </c>
      <c r="ES92" s="3" t="s">
        <v>124</v>
      </c>
      <c r="ET92" s="3">
        <v>1</v>
      </c>
      <c r="EU92" s="3">
        <v>60000</v>
      </c>
      <c r="EV92" s="3">
        <f t="shared" si="172"/>
        <v>60000</v>
      </c>
      <c r="EW92" s="3" t="s">
        <v>124</v>
      </c>
      <c r="EX92" s="15"/>
      <c r="EY92" s="3">
        <v>60000</v>
      </c>
      <c r="EZ92" s="3">
        <f t="shared" si="173"/>
        <v>0</v>
      </c>
      <c r="FA92" s="3" t="s">
        <v>170</v>
      </c>
      <c r="FB92" s="15"/>
      <c r="FC92" s="3">
        <v>1000</v>
      </c>
      <c r="FD92" s="3">
        <f t="shared" si="174"/>
        <v>0</v>
      </c>
      <c r="FE92" s="3" t="s">
        <v>126</v>
      </c>
      <c r="FF92" s="3">
        <f t="shared" si="196"/>
        <v>0</v>
      </c>
      <c r="FG92" s="3">
        <v>6000</v>
      </c>
      <c r="FH92" s="3">
        <f t="shared" si="175"/>
        <v>0</v>
      </c>
      <c r="FI92" s="1">
        <f t="shared" si="176"/>
        <v>10760000</v>
      </c>
      <c r="FJ92" s="3" t="s">
        <v>139</v>
      </c>
      <c r="FK92" s="2">
        <v>40</v>
      </c>
      <c r="FL92" s="3">
        <v>6000</v>
      </c>
      <c r="FM92" s="3">
        <f t="shared" si="177"/>
        <v>240000</v>
      </c>
      <c r="FN92" s="3" t="s">
        <v>139</v>
      </c>
      <c r="FO92" s="3"/>
      <c r="FP92" s="3">
        <v>6000</v>
      </c>
      <c r="FQ92" s="3">
        <f t="shared" si="197"/>
        <v>0</v>
      </c>
      <c r="FR92" s="3" t="s">
        <v>139</v>
      </c>
      <c r="FS92" s="15"/>
      <c r="FT92" s="15">
        <v>6000</v>
      </c>
      <c r="FU92" s="3">
        <f t="shared" si="178"/>
        <v>0</v>
      </c>
      <c r="FV92" s="3" t="s">
        <v>139</v>
      </c>
      <c r="FW92" s="15"/>
      <c r="FX92" s="3">
        <v>8000</v>
      </c>
      <c r="FY92" s="3">
        <f t="shared" si="179"/>
        <v>0</v>
      </c>
      <c r="FZ92" s="3" t="s">
        <v>139</v>
      </c>
      <c r="GA92" s="3">
        <v>2</v>
      </c>
      <c r="GB92" s="3">
        <v>8000</v>
      </c>
      <c r="GC92" s="3">
        <f t="shared" si="180"/>
        <v>16000</v>
      </c>
      <c r="GD92" s="3" t="s">
        <v>139</v>
      </c>
      <c r="GE92" s="3">
        <v>10</v>
      </c>
      <c r="GF92" s="3">
        <v>10000</v>
      </c>
      <c r="GG92" s="3">
        <f t="shared" si="181"/>
        <v>100000</v>
      </c>
      <c r="GH92" s="3" t="s">
        <v>139</v>
      </c>
      <c r="GI92" s="15"/>
      <c r="GJ92" s="15"/>
      <c r="GK92" s="3">
        <f t="shared" si="182"/>
        <v>0</v>
      </c>
      <c r="GL92" s="63">
        <f t="shared" si="183"/>
        <v>356000</v>
      </c>
      <c r="GM92" s="8">
        <f t="shared" si="305"/>
        <v>12809000</v>
      </c>
      <c r="GN92" s="8">
        <f t="shared" si="185"/>
        <v>1000</v>
      </c>
      <c r="GO92" s="104">
        <v>15000</v>
      </c>
      <c r="GP92" s="8">
        <f t="shared" si="198"/>
        <v>15000000</v>
      </c>
      <c r="GQ92" s="8">
        <f t="shared" si="186"/>
        <v>45000000</v>
      </c>
      <c r="GR92" s="8">
        <f t="shared" si="187"/>
        <v>2191000</v>
      </c>
      <c r="GS92" s="8">
        <f t="shared" si="188"/>
        <v>32191000</v>
      </c>
      <c r="GT92" s="15" t="s">
        <v>1838</v>
      </c>
      <c r="GU92" s="47" t="s">
        <v>1573</v>
      </c>
    </row>
    <row r="93" spans="1:280" s="66" customFormat="1" ht="158.25" customHeight="1">
      <c r="A93" s="44">
        <v>94</v>
      </c>
      <c r="B93" s="18" t="s">
        <v>1118</v>
      </c>
      <c r="C93" s="15" t="s">
        <v>1577</v>
      </c>
      <c r="D93" s="15" t="s">
        <v>1578</v>
      </c>
      <c r="E93" s="15" t="s">
        <v>1580</v>
      </c>
      <c r="F93" s="15" t="s">
        <v>1580</v>
      </c>
      <c r="G93" s="15" t="s">
        <v>1579</v>
      </c>
      <c r="H93" s="15" t="s">
        <v>815</v>
      </c>
      <c r="I93" s="15" t="s">
        <v>1581</v>
      </c>
      <c r="J93" s="15" t="s">
        <v>1582</v>
      </c>
      <c r="K93" s="15" t="s">
        <v>1583</v>
      </c>
      <c r="L93" s="15" t="s">
        <v>1584</v>
      </c>
      <c r="M93" s="15" t="s">
        <v>1585</v>
      </c>
      <c r="N93" s="15" t="s">
        <v>1586</v>
      </c>
      <c r="O93" s="15" t="s">
        <v>1587</v>
      </c>
      <c r="P93" s="15" t="s">
        <v>1588</v>
      </c>
      <c r="Q93" s="15" t="s">
        <v>997</v>
      </c>
      <c r="R93" s="15">
        <v>3</v>
      </c>
      <c r="S93" s="15">
        <v>8</v>
      </c>
      <c r="T93" s="15">
        <v>15000</v>
      </c>
      <c r="U93" s="15">
        <v>60</v>
      </c>
      <c r="V93" s="15"/>
      <c r="W93" s="15" t="s">
        <v>1589</v>
      </c>
      <c r="X93" s="15">
        <v>5</v>
      </c>
      <c r="Y93" s="15">
        <v>25</v>
      </c>
      <c r="Z93" s="15" t="s">
        <v>1590</v>
      </c>
      <c r="AA93" s="15" t="s">
        <v>1591</v>
      </c>
      <c r="AB93" s="15" t="s">
        <v>1592</v>
      </c>
      <c r="AC93" s="3">
        <v>5</v>
      </c>
      <c r="AD93" s="15"/>
      <c r="AE93" s="15"/>
      <c r="AF93" s="3">
        <v>80000</v>
      </c>
      <c r="AG93" s="3">
        <f t="shared" si="211"/>
        <v>0</v>
      </c>
      <c r="AH93" s="87" t="s">
        <v>1593</v>
      </c>
      <c r="AI93" s="15"/>
      <c r="AJ93" s="15">
        <v>1000</v>
      </c>
      <c r="AK93" s="15">
        <v>100</v>
      </c>
      <c r="AL93" s="15">
        <v>6000</v>
      </c>
      <c r="AM93" s="15"/>
      <c r="AN93" s="15">
        <v>3000</v>
      </c>
      <c r="AO93" s="15"/>
      <c r="AP93" s="15">
        <v>6000</v>
      </c>
      <c r="AQ93" s="2">
        <f t="shared" si="199"/>
        <v>600000</v>
      </c>
      <c r="AR93" s="15" t="s">
        <v>1594</v>
      </c>
      <c r="AS93" s="15" t="s">
        <v>1595</v>
      </c>
      <c r="AT93" s="3" t="s">
        <v>139</v>
      </c>
      <c r="AU93" s="15"/>
      <c r="AV93" s="15"/>
      <c r="AW93" s="15"/>
      <c r="AX93" s="15"/>
      <c r="AY93" s="15"/>
      <c r="AZ93" s="15"/>
      <c r="BA93" s="15"/>
      <c r="BB93" s="15"/>
      <c r="BC93" s="15"/>
      <c r="BD93" s="15"/>
      <c r="BE93" s="15"/>
      <c r="BF93" s="15"/>
      <c r="BG93" s="15"/>
      <c r="BH93" s="15"/>
      <c r="BI93" s="15"/>
      <c r="BJ93" s="15"/>
      <c r="BK93" s="15"/>
      <c r="BL93" s="3">
        <v>1000</v>
      </c>
      <c r="BM93" s="3">
        <f t="shared" si="258"/>
        <v>0</v>
      </c>
      <c r="BN93" s="13" t="s">
        <v>20</v>
      </c>
      <c r="BO93" s="15"/>
      <c r="BP93" s="2">
        <v>3000</v>
      </c>
      <c r="BQ93" s="15"/>
      <c r="BR93" s="15"/>
      <c r="BS93" s="15"/>
      <c r="BT93" s="15"/>
      <c r="BU93" s="15"/>
      <c r="BV93" s="15"/>
      <c r="BW93" s="15"/>
      <c r="BX93" s="15"/>
      <c r="BY93" s="15"/>
      <c r="BZ93" s="15"/>
      <c r="CA93" s="15"/>
      <c r="CB93" s="3">
        <v>5</v>
      </c>
      <c r="CC93" s="3">
        <v>8000</v>
      </c>
      <c r="CD93" s="3">
        <f t="shared" si="200"/>
        <v>40000</v>
      </c>
      <c r="CE93" s="3" t="s">
        <v>125</v>
      </c>
      <c r="CF93" s="3">
        <v>30</v>
      </c>
      <c r="CG93" s="3">
        <v>6000</v>
      </c>
      <c r="CH93" s="3">
        <f t="shared" si="201"/>
        <v>180000</v>
      </c>
      <c r="CI93" s="3" t="s">
        <v>139</v>
      </c>
      <c r="CJ93" s="3">
        <v>1</v>
      </c>
      <c r="CK93" s="15"/>
      <c r="CL93" s="3">
        <f t="shared" si="166"/>
        <v>0</v>
      </c>
      <c r="CM93" s="8">
        <f t="shared" si="167"/>
        <v>220000</v>
      </c>
      <c r="CN93" s="3" t="s">
        <v>125</v>
      </c>
      <c r="CO93" s="3">
        <v>0</v>
      </c>
      <c r="CP93" s="3">
        <v>6000</v>
      </c>
      <c r="CQ93" s="3">
        <f t="shared" si="309"/>
        <v>0</v>
      </c>
      <c r="CR93" s="3" t="s">
        <v>125</v>
      </c>
      <c r="CS93" s="3">
        <v>75</v>
      </c>
      <c r="CT93" s="3">
        <v>6000</v>
      </c>
      <c r="CU93" s="3">
        <f t="shared" si="310"/>
        <v>450000</v>
      </c>
      <c r="CV93" s="3" t="s">
        <v>125</v>
      </c>
      <c r="CW93" s="3">
        <v>30</v>
      </c>
      <c r="CX93" s="3">
        <v>6000</v>
      </c>
      <c r="CY93" s="3">
        <f t="shared" si="311"/>
        <v>180000</v>
      </c>
      <c r="CZ93" s="3" t="s">
        <v>125</v>
      </c>
      <c r="DA93" s="3">
        <v>15</v>
      </c>
      <c r="DB93" s="3">
        <v>6000</v>
      </c>
      <c r="DC93" s="3">
        <f t="shared" si="312"/>
        <v>90000</v>
      </c>
      <c r="DD93" s="3" t="s">
        <v>125</v>
      </c>
      <c r="DE93" s="3">
        <v>5</v>
      </c>
      <c r="DF93" s="3">
        <v>6000</v>
      </c>
      <c r="DG93" s="3">
        <f t="shared" si="313"/>
        <v>30000</v>
      </c>
      <c r="DH93" s="3" t="s">
        <v>125</v>
      </c>
      <c r="DI93" s="3">
        <v>100</v>
      </c>
      <c r="DJ93" s="3">
        <v>6000</v>
      </c>
      <c r="DK93" s="3">
        <f t="shared" si="314"/>
        <v>600000</v>
      </c>
      <c r="DL93" s="3" t="s">
        <v>125</v>
      </c>
      <c r="DM93" s="3"/>
      <c r="DN93" s="3">
        <v>6000</v>
      </c>
      <c r="DO93" s="3">
        <f t="shared" si="315"/>
        <v>0</v>
      </c>
      <c r="DP93" s="3" t="s">
        <v>125</v>
      </c>
      <c r="DQ93" s="3"/>
      <c r="DR93" s="3">
        <v>6000</v>
      </c>
      <c r="DS93" s="3">
        <f t="shared" si="316"/>
        <v>0</v>
      </c>
      <c r="DT93" s="6">
        <f t="shared" si="317"/>
        <v>1350000</v>
      </c>
      <c r="DU93" s="15"/>
      <c r="DV93" s="3">
        <f>S93</f>
        <v>8</v>
      </c>
      <c r="DW93" s="3">
        <f t="shared" si="190"/>
        <v>15000</v>
      </c>
      <c r="DX93" s="3">
        <f t="shared" si="168"/>
        <v>120000</v>
      </c>
      <c r="DY93" s="3" t="s">
        <v>127</v>
      </c>
      <c r="DZ93" s="3">
        <f t="shared" si="191"/>
        <v>0</v>
      </c>
      <c r="EA93" s="3">
        <v>50000</v>
      </c>
      <c r="EB93" s="3">
        <f t="shared" si="169"/>
        <v>0</v>
      </c>
      <c r="EC93" s="3" t="s">
        <v>127</v>
      </c>
      <c r="ED93" s="3">
        <f t="shared" si="192"/>
        <v>0</v>
      </c>
      <c r="EE93" s="3">
        <v>80000</v>
      </c>
      <c r="EF93" s="3">
        <f t="shared" si="170"/>
        <v>0</v>
      </c>
      <c r="EG93" s="3" t="s">
        <v>157</v>
      </c>
      <c r="EH93" s="15">
        <f t="shared" si="193"/>
        <v>100</v>
      </c>
      <c r="EI93" s="3">
        <v>6000</v>
      </c>
      <c r="EJ93" s="7">
        <f t="shared" si="124"/>
        <v>600000</v>
      </c>
      <c r="EK93" s="3" t="s">
        <v>157</v>
      </c>
      <c r="EL93" s="15">
        <f t="shared" si="149"/>
        <v>0</v>
      </c>
      <c r="EM93" s="3">
        <v>3000</v>
      </c>
      <c r="EN93" s="3">
        <f t="shared" si="171"/>
        <v>0</v>
      </c>
      <c r="EO93" s="3" t="s">
        <v>126</v>
      </c>
      <c r="EP93" s="3">
        <f t="shared" si="194"/>
        <v>0</v>
      </c>
      <c r="EQ93" s="3">
        <v>1000</v>
      </c>
      <c r="ER93" s="7">
        <f>EP93*EQ93</f>
        <v>0</v>
      </c>
      <c r="ES93" s="3" t="s">
        <v>124</v>
      </c>
      <c r="ET93" s="3">
        <v>1</v>
      </c>
      <c r="EU93" s="3">
        <v>60000</v>
      </c>
      <c r="EV93" s="3">
        <f t="shared" si="172"/>
        <v>60000</v>
      </c>
      <c r="EW93" s="3" t="s">
        <v>124</v>
      </c>
      <c r="EX93" s="15"/>
      <c r="EY93" s="3">
        <v>60000</v>
      </c>
      <c r="EZ93" s="3">
        <f t="shared" si="173"/>
        <v>0</v>
      </c>
      <c r="FA93" s="3" t="s">
        <v>170</v>
      </c>
      <c r="FB93" s="15"/>
      <c r="FC93" s="3">
        <v>1000</v>
      </c>
      <c r="FD93" s="3">
        <f t="shared" si="174"/>
        <v>0</v>
      </c>
      <c r="FE93" s="3" t="s">
        <v>126</v>
      </c>
      <c r="FF93" s="3">
        <f t="shared" si="196"/>
        <v>0</v>
      </c>
      <c r="FG93" s="3">
        <v>6000</v>
      </c>
      <c r="FH93" s="3">
        <f t="shared" si="175"/>
        <v>0</v>
      </c>
      <c r="FI93" s="1">
        <f t="shared" si="176"/>
        <v>780000</v>
      </c>
      <c r="FJ93" s="3" t="s">
        <v>139</v>
      </c>
      <c r="FK93" s="2">
        <v>40</v>
      </c>
      <c r="FL93" s="3">
        <v>6000</v>
      </c>
      <c r="FM93" s="3">
        <f t="shared" ref="FM93:FM95" si="318">FK93*FL93</f>
        <v>240000</v>
      </c>
      <c r="FN93" s="3" t="s">
        <v>139</v>
      </c>
      <c r="FO93" s="3"/>
      <c r="FP93" s="3">
        <v>6000</v>
      </c>
      <c r="FQ93" s="3">
        <f t="shared" ref="FQ93:FQ95" si="319">FO93*FP93</f>
        <v>0</v>
      </c>
      <c r="FR93" s="3" t="s">
        <v>139</v>
      </c>
      <c r="FS93" s="15"/>
      <c r="FT93" s="15">
        <v>6000</v>
      </c>
      <c r="FU93" s="3">
        <f t="shared" ref="FU93:FU95" si="320">FS93*FT93</f>
        <v>0</v>
      </c>
      <c r="FV93" s="3" t="s">
        <v>139</v>
      </c>
      <c r="FW93" s="15"/>
      <c r="FX93" s="3">
        <v>8000</v>
      </c>
      <c r="FY93" s="3">
        <f t="shared" ref="FY93:FY95" si="321">FW93*FX93</f>
        <v>0</v>
      </c>
      <c r="FZ93" s="3" t="s">
        <v>139</v>
      </c>
      <c r="GA93" s="3">
        <v>2</v>
      </c>
      <c r="GB93" s="3">
        <v>8000</v>
      </c>
      <c r="GC93" s="3">
        <f t="shared" ref="GC93:GC95" si="322">GA93*GB93</f>
        <v>16000</v>
      </c>
      <c r="GD93" s="3" t="s">
        <v>139</v>
      </c>
      <c r="GE93" s="3">
        <v>10</v>
      </c>
      <c r="GF93" s="3">
        <v>10000</v>
      </c>
      <c r="GG93" s="3">
        <f t="shared" ref="GG93:GG95" si="323">GE93*GF93</f>
        <v>100000</v>
      </c>
      <c r="GH93" s="3" t="s">
        <v>139</v>
      </c>
      <c r="GI93" s="15"/>
      <c r="GJ93" s="15"/>
      <c r="GK93" s="3">
        <f t="shared" ref="GK93:GK95" si="324">GI93*GJ93</f>
        <v>0</v>
      </c>
      <c r="GL93" s="63">
        <f t="shared" ref="GL93:GL95" si="325">FM93+FQ93+FU93+FY93+GC93+GG93+GK93</f>
        <v>356000</v>
      </c>
      <c r="GM93" s="8">
        <f t="shared" si="305"/>
        <v>2706000</v>
      </c>
      <c r="GN93" s="41">
        <f t="shared" si="185"/>
        <v>5000</v>
      </c>
      <c r="GO93" s="104">
        <v>12000</v>
      </c>
      <c r="GP93" s="41">
        <f t="shared" si="198"/>
        <v>60000000</v>
      </c>
      <c r="GQ93" s="41">
        <f t="shared" si="186"/>
        <v>300000000</v>
      </c>
      <c r="GR93" s="8">
        <f t="shared" si="187"/>
        <v>57294000</v>
      </c>
      <c r="GS93" s="8">
        <f t="shared" si="188"/>
        <v>297294000</v>
      </c>
      <c r="GT93" s="15" t="s">
        <v>1839</v>
      </c>
      <c r="GU93" s="15" t="s">
        <v>1596</v>
      </c>
    </row>
    <row r="94" spans="1:280" s="66" customFormat="1" ht="158.25" customHeight="1">
      <c r="A94" s="67">
        <v>95</v>
      </c>
      <c r="B94" s="18" t="s">
        <v>832</v>
      </c>
      <c r="C94" s="15" t="s">
        <v>1168</v>
      </c>
      <c r="D94" s="15" t="s">
        <v>1840</v>
      </c>
      <c r="E94" s="15" t="s">
        <v>1597</v>
      </c>
      <c r="F94" s="15" t="s">
        <v>1597</v>
      </c>
      <c r="G94" s="15" t="s">
        <v>1720</v>
      </c>
      <c r="H94" s="15" t="s">
        <v>815</v>
      </c>
      <c r="I94" s="15" t="s">
        <v>1598</v>
      </c>
      <c r="J94" s="15" t="s">
        <v>1599</v>
      </c>
      <c r="K94" s="15" t="s">
        <v>1600</v>
      </c>
      <c r="L94" s="15" t="s">
        <v>1601</v>
      </c>
      <c r="M94" s="15" t="s">
        <v>1602</v>
      </c>
      <c r="N94" s="15"/>
      <c r="O94" s="15" t="s">
        <v>1603</v>
      </c>
      <c r="P94" s="15" t="s">
        <v>1604</v>
      </c>
      <c r="Q94" s="15" t="s">
        <v>1180</v>
      </c>
      <c r="R94" s="15">
        <v>8000</v>
      </c>
      <c r="S94" s="15">
        <v>10000</v>
      </c>
      <c r="T94" s="15">
        <v>50</v>
      </c>
      <c r="U94" s="15">
        <v>240</v>
      </c>
      <c r="V94" s="15">
        <v>365</v>
      </c>
      <c r="W94" s="15" t="s">
        <v>1605</v>
      </c>
      <c r="X94" s="15">
        <v>10</v>
      </c>
      <c r="Y94" s="15">
        <v>20</v>
      </c>
      <c r="Z94" s="15" t="s">
        <v>1606</v>
      </c>
      <c r="AA94" s="15" t="s">
        <v>1607</v>
      </c>
      <c r="AB94" s="15" t="s">
        <v>1608</v>
      </c>
      <c r="AC94" s="3">
        <v>50000</v>
      </c>
      <c r="AD94" s="15">
        <v>10</v>
      </c>
      <c r="AE94" s="15"/>
      <c r="AF94" s="3">
        <v>80000</v>
      </c>
      <c r="AG94" s="3">
        <f t="shared" si="211"/>
        <v>500000</v>
      </c>
      <c r="AH94" s="15" t="s">
        <v>1609</v>
      </c>
      <c r="AI94" s="15"/>
      <c r="AJ94" s="15">
        <v>1000</v>
      </c>
      <c r="AK94" s="15">
        <v>50</v>
      </c>
      <c r="AL94" s="15">
        <v>6000</v>
      </c>
      <c r="AM94" s="15"/>
      <c r="AN94" s="15">
        <v>3000</v>
      </c>
      <c r="AO94" s="15"/>
      <c r="AP94" s="15">
        <v>6000</v>
      </c>
      <c r="AQ94" s="2">
        <f t="shared" si="199"/>
        <v>300000</v>
      </c>
      <c r="AR94" s="15" t="s">
        <v>1610</v>
      </c>
      <c r="AS94" s="15" t="s">
        <v>1611</v>
      </c>
      <c r="AT94" s="3" t="s">
        <v>139</v>
      </c>
      <c r="AU94" s="15"/>
      <c r="AV94" s="15"/>
      <c r="AW94" s="15"/>
      <c r="AX94" s="15"/>
      <c r="AY94" s="15"/>
      <c r="AZ94" s="15"/>
      <c r="BA94" s="15"/>
      <c r="BB94" s="15"/>
      <c r="BC94" s="15"/>
      <c r="BD94" s="15"/>
      <c r="BE94" s="15"/>
      <c r="BF94" s="15"/>
      <c r="BG94" s="15"/>
      <c r="BH94" s="15"/>
      <c r="BI94" s="15"/>
      <c r="BJ94" s="15"/>
      <c r="BK94" s="15"/>
      <c r="BL94" s="3">
        <v>1000</v>
      </c>
      <c r="BM94" s="3">
        <f t="shared" si="258"/>
        <v>0</v>
      </c>
      <c r="BN94" s="13" t="s">
        <v>20</v>
      </c>
      <c r="BO94" s="15"/>
      <c r="BP94" s="2">
        <v>3000</v>
      </c>
      <c r="BQ94" s="15"/>
      <c r="BR94" s="15"/>
      <c r="BS94" s="15"/>
      <c r="BT94" s="15"/>
      <c r="BU94" s="15"/>
      <c r="BV94" s="15"/>
      <c r="BW94" s="15"/>
      <c r="BX94" s="15"/>
      <c r="BY94" s="15"/>
      <c r="BZ94" s="15"/>
      <c r="CA94" s="15"/>
      <c r="CB94" s="3">
        <v>5</v>
      </c>
      <c r="CC94" s="3">
        <v>8000</v>
      </c>
      <c r="CD94" s="3">
        <f t="shared" si="200"/>
        <v>40000</v>
      </c>
      <c r="CE94" s="3" t="s">
        <v>125</v>
      </c>
      <c r="CF94" s="3">
        <v>30</v>
      </c>
      <c r="CG94" s="3">
        <v>6000</v>
      </c>
      <c r="CH94" s="3">
        <f t="shared" si="201"/>
        <v>180000</v>
      </c>
      <c r="CI94" s="3" t="s">
        <v>139</v>
      </c>
      <c r="CJ94" s="3">
        <v>1</v>
      </c>
      <c r="CK94" s="15"/>
      <c r="CL94" s="3">
        <f t="shared" si="166"/>
        <v>0</v>
      </c>
      <c r="CM94" s="8">
        <f t="shared" si="167"/>
        <v>220000</v>
      </c>
      <c r="CN94" s="3" t="s">
        <v>125</v>
      </c>
      <c r="CO94" s="3">
        <v>0</v>
      </c>
      <c r="CP94" s="3">
        <v>6000</v>
      </c>
      <c r="CQ94" s="3">
        <f t="shared" si="309"/>
        <v>0</v>
      </c>
      <c r="CR94" s="3" t="s">
        <v>125</v>
      </c>
      <c r="CS94" s="3">
        <v>75</v>
      </c>
      <c r="CT94" s="3">
        <v>6000</v>
      </c>
      <c r="CU94" s="3">
        <f t="shared" si="310"/>
        <v>450000</v>
      </c>
      <c r="CV94" s="3" t="s">
        <v>125</v>
      </c>
      <c r="CW94" s="3">
        <v>30</v>
      </c>
      <c r="CX94" s="3">
        <v>6000</v>
      </c>
      <c r="CY94" s="3">
        <f t="shared" si="311"/>
        <v>180000</v>
      </c>
      <c r="CZ94" s="3" t="s">
        <v>125</v>
      </c>
      <c r="DA94" s="3">
        <v>15</v>
      </c>
      <c r="DB94" s="3">
        <v>6000</v>
      </c>
      <c r="DC94" s="3">
        <f t="shared" si="312"/>
        <v>90000</v>
      </c>
      <c r="DD94" s="3" t="s">
        <v>125</v>
      </c>
      <c r="DE94" s="3">
        <v>5</v>
      </c>
      <c r="DF94" s="3">
        <v>6000</v>
      </c>
      <c r="DG94" s="3">
        <f t="shared" si="313"/>
        <v>30000</v>
      </c>
      <c r="DH94" s="3" t="s">
        <v>125</v>
      </c>
      <c r="DI94" s="3">
        <v>100</v>
      </c>
      <c r="DJ94" s="3">
        <v>6000</v>
      </c>
      <c r="DK94" s="3">
        <f t="shared" si="314"/>
        <v>600000</v>
      </c>
      <c r="DL94" s="3" t="s">
        <v>125</v>
      </c>
      <c r="DM94" s="3"/>
      <c r="DN94" s="3">
        <v>6000</v>
      </c>
      <c r="DO94" s="3">
        <f t="shared" si="315"/>
        <v>0</v>
      </c>
      <c r="DP94" s="3" t="s">
        <v>125</v>
      </c>
      <c r="DQ94" s="3"/>
      <c r="DR94" s="3">
        <v>6000</v>
      </c>
      <c r="DS94" s="3">
        <f t="shared" si="316"/>
        <v>0</v>
      </c>
      <c r="DT94" s="6">
        <f t="shared" si="317"/>
        <v>1350000</v>
      </c>
      <c r="DU94" s="15"/>
      <c r="DV94" s="3">
        <f t="shared" ref="DV94" si="326">S94</f>
        <v>10000</v>
      </c>
      <c r="DW94" s="3">
        <f t="shared" si="190"/>
        <v>50</v>
      </c>
      <c r="DX94" s="3">
        <f t="shared" si="168"/>
        <v>500000</v>
      </c>
      <c r="DY94" s="3" t="s">
        <v>127</v>
      </c>
      <c r="DZ94" s="3">
        <f t="shared" si="191"/>
        <v>10</v>
      </c>
      <c r="EA94" s="3">
        <v>50000</v>
      </c>
      <c r="EB94" s="3">
        <f t="shared" si="169"/>
        <v>500000</v>
      </c>
      <c r="EC94" s="3" t="s">
        <v>127</v>
      </c>
      <c r="ED94" s="3">
        <f t="shared" si="192"/>
        <v>0</v>
      </c>
      <c r="EE94" s="3">
        <v>80000</v>
      </c>
      <c r="EF94" s="3">
        <f t="shared" si="170"/>
        <v>0</v>
      </c>
      <c r="EG94" s="3" t="s">
        <v>157</v>
      </c>
      <c r="EH94" s="15">
        <f t="shared" si="193"/>
        <v>50</v>
      </c>
      <c r="EI94" s="3">
        <v>6000</v>
      </c>
      <c r="EJ94" s="7">
        <f t="shared" si="124"/>
        <v>300000</v>
      </c>
      <c r="EK94" s="3" t="s">
        <v>157</v>
      </c>
      <c r="EL94" s="15">
        <f t="shared" si="149"/>
        <v>0</v>
      </c>
      <c r="EM94" s="3">
        <v>3000</v>
      </c>
      <c r="EN94" s="3">
        <f t="shared" si="171"/>
        <v>0</v>
      </c>
      <c r="EO94" s="3" t="s">
        <v>126</v>
      </c>
      <c r="EP94" s="3">
        <f t="shared" si="194"/>
        <v>0</v>
      </c>
      <c r="EQ94" s="3">
        <v>1000</v>
      </c>
      <c r="ER94" s="7">
        <f t="shared" si="195"/>
        <v>0</v>
      </c>
      <c r="ES94" s="3" t="s">
        <v>124</v>
      </c>
      <c r="ET94" s="3">
        <v>1</v>
      </c>
      <c r="EU94" s="3">
        <v>60000</v>
      </c>
      <c r="EV94" s="3">
        <f t="shared" si="172"/>
        <v>60000</v>
      </c>
      <c r="EW94" s="3" t="s">
        <v>124</v>
      </c>
      <c r="EX94" s="15"/>
      <c r="EY94" s="3">
        <v>60000</v>
      </c>
      <c r="EZ94" s="3">
        <f t="shared" si="173"/>
        <v>0</v>
      </c>
      <c r="FA94" s="3" t="s">
        <v>170</v>
      </c>
      <c r="FB94" s="15"/>
      <c r="FC94" s="3">
        <v>1000</v>
      </c>
      <c r="FD94" s="3">
        <f t="shared" si="174"/>
        <v>0</v>
      </c>
      <c r="FE94" s="3" t="s">
        <v>126</v>
      </c>
      <c r="FF94" s="3">
        <f t="shared" si="196"/>
        <v>0</v>
      </c>
      <c r="FG94" s="3">
        <v>6000</v>
      </c>
      <c r="FH94" s="3">
        <f t="shared" si="175"/>
        <v>0</v>
      </c>
      <c r="FI94" s="64">
        <f t="shared" si="176"/>
        <v>1360000</v>
      </c>
      <c r="FJ94" s="3" t="s">
        <v>139</v>
      </c>
      <c r="FK94" s="2">
        <v>40</v>
      </c>
      <c r="FL94" s="3">
        <v>6000</v>
      </c>
      <c r="FM94" s="3">
        <f t="shared" si="318"/>
        <v>240000</v>
      </c>
      <c r="FN94" s="3" t="s">
        <v>139</v>
      </c>
      <c r="FO94" s="3"/>
      <c r="FP94" s="3">
        <v>6000</v>
      </c>
      <c r="FQ94" s="3">
        <f t="shared" si="319"/>
        <v>0</v>
      </c>
      <c r="FR94" s="3" t="s">
        <v>139</v>
      </c>
      <c r="FS94" s="15"/>
      <c r="FT94" s="15">
        <v>6000</v>
      </c>
      <c r="FU94" s="3">
        <f t="shared" si="320"/>
        <v>0</v>
      </c>
      <c r="FV94" s="3" t="s">
        <v>139</v>
      </c>
      <c r="FW94" s="15"/>
      <c r="FX94" s="3">
        <v>8000</v>
      </c>
      <c r="FY94" s="3">
        <f t="shared" si="321"/>
        <v>0</v>
      </c>
      <c r="FZ94" s="3" t="s">
        <v>139</v>
      </c>
      <c r="GA94" s="3">
        <v>2</v>
      </c>
      <c r="GB94" s="3">
        <v>8000</v>
      </c>
      <c r="GC94" s="3">
        <f t="shared" si="322"/>
        <v>16000</v>
      </c>
      <c r="GD94" s="3" t="s">
        <v>139</v>
      </c>
      <c r="GE94" s="3">
        <v>10</v>
      </c>
      <c r="GF94" s="3">
        <v>10000</v>
      </c>
      <c r="GG94" s="3">
        <f t="shared" si="323"/>
        <v>100000</v>
      </c>
      <c r="GH94" s="3" t="s">
        <v>139</v>
      </c>
      <c r="GI94" s="15"/>
      <c r="GJ94" s="15"/>
      <c r="GK94" s="3">
        <f t="shared" si="324"/>
        <v>0</v>
      </c>
      <c r="GL94" s="63">
        <f t="shared" si="325"/>
        <v>356000</v>
      </c>
      <c r="GM94" s="8">
        <f t="shared" si="305"/>
        <v>3286000</v>
      </c>
      <c r="GN94" s="41">
        <f t="shared" si="185"/>
        <v>10000</v>
      </c>
      <c r="GO94" s="104">
        <v>2500</v>
      </c>
      <c r="GP94" s="41">
        <f t="shared" si="198"/>
        <v>25000000</v>
      </c>
      <c r="GQ94" s="41">
        <f t="shared" si="186"/>
        <v>50000000</v>
      </c>
      <c r="GR94" s="8">
        <f t="shared" si="187"/>
        <v>21714000</v>
      </c>
      <c r="GS94" s="8">
        <f t="shared" si="188"/>
        <v>46714000</v>
      </c>
      <c r="GT94" s="15" t="s">
        <v>1841</v>
      </c>
      <c r="GU94" s="15"/>
      <c r="JT94" s="66" t="s">
        <v>1612</v>
      </c>
    </row>
    <row r="95" spans="1:280" s="58" customFormat="1" ht="158.25" customHeight="1">
      <c r="A95" s="44">
        <v>96</v>
      </c>
      <c r="B95" s="23" t="s">
        <v>907</v>
      </c>
      <c r="C95" s="13" t="s">
        <v>908</v>
      </c>
      <c r="D95" s="15" t="s">
        <v>1613</v>
      </c>
      <c r="E95" s="13" t="s">
        <v>1614</v>
      </c>
      <c r="F95" s="13" t="s">
        <v>1614</v>
      </c>
      <c r="G95" s="15" t="s">
        <v>1615</v>
      </c>
      <c r="H95" s="15" t="s">
        <v>45</v>
      </c>
      <c r="I95" s="61" t="s">
        <v>1616</v>
      </c>
      <c r="J95" s="15" t="s">
        <v>1617</v>
      </c>
      <c r="K95" s="15" t="s">
        <v>1618</v>
      </c>
      <c r="L95" s="15" t="s">
        <v>1619</v>
      </c>
      <c r="M95" s="15" t="s">
        <v>1620</v>
      </c>
      <c r="N95" s="15" t="s">
        <v>1621</v>
      </c>
      <c r="O95" s="15" t="s">
        <v>1622</v>
      </c>
      <c r="P95" s="15" t="s">
        <v>1623</v>
      </c>
      <c r="Q95" s="15" t="s">
        <v>997</v>
      </c>
      <c r="R95" s="15">
        <v>20</v>
      </c>
      <c r="S95" s="15">
        <v>30</v>
      </c>
      <c r="T95" s="15">
        <v>5000</v>
      </c>
      <c r="U95" s="15">
        <v>120</v>
      </c>
      <c r="V95" s="15">
        <v>240</v>
      </c>
      <c r="W95" s="15" t="s">
        <v>1624</v>
      </c>
      <c r="X95" s="15">
        <v>1.3</v>
      </c>
      <c r="Y95" s="15">
        <v>3</v>
      </c>
      <c r="Z95" s="15" t="s">
        <v>1625</v>
      </c>
      <c r="AA95" s="15" t="s">
        <v>1626</v>
      </c>
      <c r="AB95" s="15" t="s">
        <v>1627</v>
      </c>
      <c r="AC95" s="3">
        <v>50000</v>
      </c>
      <c r="AD95" s="15">
        <v>5</v>
      </c>
      <c r="AE95" s="13"/>
      <c r="AF95" s="3">
        <v>80000</v>
      </c>
      <c r="AG95" s="3">
        <f t="shared" si="211"/>
        <v>250000</v>
      </c>
      <c r="AH95" s="15" t="s">
        <v>2014</v>
      </c>
      <c r="AI95" s="13"/>
      <c r="AJ95" s="15">
        <v>1000</v>
      </c>
      <c r="AK95" s="15">
        <v>50</v>
      </c>
      <c r="AL95" s="15">
        <v>6000</v>
      </c>
      <c r="AM95" s="15"/>
      <c r="AN95" s="15">
        <v>3000</v>
      </c>
      <c r="AO95" s="42"/>
      <c r="AP95" s="15">
        <v>6000</v>
      </c>
      <c r="AQ95" s="2">
        <f t="shared" si="199"/>
        <v>300000</v>
      </c>
      <c r="AR95" s="15" t="s">
        <v>1628</v>
      </c>
      <c r="AS95" s="15" t="s">
        <v>1629</v>
      </c>
      <c r="AT95" s="2" t="s">
        <v>139</v>
      </c>
      <c r="AU95" s="36"/>
      <c r="AV95" s="3">
        <v>6000</v>
      </c>
      <c r="AW95" s="2">
        <f>AU95*AV95</f>
        <v>0</v>
      </c>
      <c r="AX95" s="3" t="s">
        <v>139</v>
      </c>
      <c r="AY95" s="13"/>
      <c r="AZ95" s="3">
        <v>6000</v>
      </c>
      <c r="BA95" s="3">
        <f>AY95*AZ95</f>
        <v>0</v>
      </c>
      <c r="BB95" s="3" t="s">
        <v>139</v>
      </c>
      <c r="BC95" s="34"/>
      <c r="BD95" s="3">
        <v>6000</v>
      </c>
      <c r="BE95" s="3">
        <f>BC95*BD95</f>
        <v>0</v>
      </c>
      <c r="BF95" s="3" t="s">
        <v>125</v>
      </c>
      <c r="BG95" s="3"/>
      <c r="BH95" s="3">
        <v>6000</v>
      </c>
      <c r="BI95" s="3">
        <f>BG95*BH95</f>
        <v>0</v>
      </c>
      <c r="BJ95" s="13" t="s">
        <v>20</v>
      </c>
      <c r="BK95" s="14"/>
      <c r="BL95" s="3">
        <v>1000</v>
      </c>
      <c r="BM95" s="3">
        <f t="shared" si="258"/>
        <v>0</v>
      </c>
      <c r="BN95" s="13" t="s">
        <v>20</v>
      </c>
      <c r="BO95" s="57"/>
      <c r="BP95" s="2">
        <v>3000</v>
      </c>
      <c r="BQ95" s="57"/>
      <c r="BR95" s="57"/>
      <c r="BS95" s="57"/>
      <c r="BT95" s="57"/>
      <c r="BU95" s="57"/>
      <c r="BV95" s="57"/>
      <c r="BW95" s="57"/>
      <c r="BX95" s="57"/>
      <c r="BY95" s="3">
        <f>BW95*BX95</f>
        <v>0</v>
      </c>
      <c r="BZ95" s="57"/>
      <c r="CA95" s="57"/>
      <c r="CB95" s="3">
        <v>5</v>
      </c>
      <c r="CC95" s="3">
        <v>8000</v>
      </c>
      <c r="CD95" s="3">
        <f t="shared" si="200"/>
        <v>40000</v>
      </c>
      <c r="CE95" s="3" t="s">
        <v>125</v>
      </c>
      <c r="CF95" s="3">
        <v>30</v>
      </c>
      <c r="CG95" s="3">
        <v>6000</v>
      </c>
      <c r="CH95" s="3">
        <f t="shared" si="201"/>
        <v>180000</v>
      </c>
      <c r="CI95" s="3" t="s">
        <v>139</v>
      </c>
      <c r="CJ95" s="3">
        <v>1</v>
      </c>
      <c r="CK95" s="57"/>
      <c r="CL95" s="3">
        <f>CJ95*CK95</f>
        <v>0</v>
      </c>
      <c r="CM95" s="5">
        <f t="shared" ref="CM95:CM103" si="327">CD95+CH95+CL95</f>
        <v>220000</v>
      </c>
      <c r="CN95" s="3" t="s">
        <v>125</v>
      </c>
      <c r="CO95" s="3">
        <v>0</v>
      </c>
      <c r="CP95" s="3">
        <v>6000</v>
      </c>
      <c r="CQ95" s="3">
        <f t="shared" si="309"/>
        <v>0</v>
      </c>
      <c r="CR95" s="3" t="s">
        <v>125</v>
      </c>
      <c r="CS95" s="3">
        <v>75</v>
      </c>
      <c r="CT95" s="3">
        <v>6000</v>
      </c>
      <c r="CU95" s="3">
        <f t="shared" si="310"/>
        <v>450000</v>
      </c>
      <c r="CV95" s="3" t="s">
        <v>125</v>
      </c>
      <c r="CW95" s="3">
        <v>30</v>
      </c>
      <c r="CX95" s="3">
        <v>6000</v>
      </c>
      <c r="CY95" s="3">
        <f t="shared" si="311"/>
        <v>180000</v>
      </c>
      <c r="CZ95" s="3" t="s">
        <v>125</v>
      </c>
      <c r="DA95" s="3">
        <v>15</v>
      </c>
      <c r="DB95" s="3">
        <v>6000</v>
      </c>
      <c r="DC95" s="3">
        <f t="shared" si="312"/>
        <v>90000</v>
      </c>
      <c r="DD95" s="3" t="s">
        <v>125</v>
      </c>
      <c r="DE95" s="3">
        <v>5</v>
      </c>
      <c r="DF95" s="3">
        <v>6000</v>
      </c>
      <c r="DG95" s="3">
        <f t="shared" si="313"/>
        <v>30000</v>
      </c>
      <c r="DH95" s="3" t="s">
        <v>125</v>
      </c>
      <c r="DI95" s="3">
        <v>50</v>
      </c>
      <c r="DJ95" s="3">
        <v>6000</v>
      </c>
      <c r="DK95" s="3">
        <f t="shared" si="314"/>
        <v>300000</v>
      </c>
      <c r="DL95" s="3" t="s">
        <v>125</v>
      </c>
      <c r="DM95" s="3"/>
      <c r="DN95" s="3">
        <v>6000</v>
      </c>
      <c r="DO95" s="3">
        <f t="shared" si="315"/>
        <v>0</v>
      </c>
      <c r="DP95" s="3" t="s">
        <v>125</v>
      </c>
      <c r="DQ95" s="3"/>
      <c r="DR95" s="3">
        <v>6000</v>
      </c>
      <c r="DS95" s="3">
        <f t="shared" si="316"/>
        <v>0</v>
      </c>
      <c r="DT95" s="6">
        <f t="shared" si="317"/>
        <v>1050000</v>
      </c>
      <c r="DU95" s="2" t="s">
        <v>157</v>
      </c>
      <c r="DV95" s="3">
        <f>S95</f>
        <v>30</v>
      </c>
      <c r="DW95" s="3">
        <f>T95</f>
        <v>5000</v>
      </c>
      <c r="DX95" s="3">
        <f t="shared" ref="DX95:DX100" si="328">DV95*DW95</f>
        <v>150000</v>
      </c>
      <c r="DY95" s="3" t="s">
        <v>127</v>
      </c>
      <c r="DZ95" s="3">
        <f>AD95</f>
        <v>5</v>
      </c>
      <c r="EA95" s="2">
        <v>50000</v>
      </c>
      <c r="EB95" s="3">
        <f>DZ95*EA95</f>
        <v>250000</v>
      </c>
      <c r="EC95" s="2" t="s">
        <v>127</v>
      </c>
      <c r="ED95" s="3">
        <f>AE95</f>
        <v>0</v>
      </c>
      <c r="EE95" s="3">
        <v>80000</v>
      </c>
      <c r="EF95" s="3">
        <f>ED95*EE95</f>
        <v>0</v>
      </c>
      <c r="EG95" s="2" t="s">
        <v>157</v>
      </c>
      <c r="EH95" s="3">
        <f>AK95</f>
        <v>50</v>
      </c>
      <c r="EI95" s="3">
        <v>6000</v>
      </c>
      <c r="EJ95" s="7">
        <f>EH95*EI95</f>
        <v>300000</v>
      </c>
      <c r="EK95" s="2" t="s">
        <v>157</v>
      </c>
      <c r="EL95" s="13">
        <f>AM95</f>
        <v>0</v>
      </c>
      <c r="EM95" s="3">
        <v>3000</v>
      </c>
      <c r="EN95" s="3">
        <f>EL95*EM95</f>
        <v>0</v>
      </c>
      <c r="EO95" s="3" t="s">
        <v>126</v>
      </c>
      <c r="EP95" s="3">
        <f>AI95</f>
        <v>0</v>
      </c>
      <c r="EQ95" s="3">
        <v>1000</v>
      </c>
      <c r="ER95" s="7">
        <f>EP95*EQ95</f>
        <v>0</v>
      </c>
      <c r="ES95" s="3" t="s">
        <v>124</v>
      </c>
      <c r="ET95" s="3">
        <v>1</v>
      </c>
      <c r="EU95" s="3">
        <v>60000</v>
      </c>
      <c r="EV95" s="3">
        <f>ET95*EU95</f>
        <v>60000</v>
      </c>
      <c r="EW95" s="3" t="s">
        <v>124</v>
      </c>
      <c r="EX95" s="57"/>
      <c r="EY95" s="3">
        <v>60000</v>
      </c>
      <c r="EZ95" s="3">
        <f>EX95*EY95</f>
        <v>0</v>
      </c>
      <c r="FA95" s="3" t="s">
        <v>170</v>
      </c>
      <c r="FB95" s="14"/>
      <c r="FC95" s="3">
        <v>1000</v>
      </c>
      <c r="FD95" s="3">
        <f>FB95*FC95</f>
        <v>0</v>
      </c>
      <c r="FE95" s="3" t="s">
        <v>126</v>
      </c>
      <c r="FF95" s="3">
        <f>AO95</f>
        <v>0</v>
      </c>
      <c r="FG95" s="3">
        <v>6000</v>
      </c>
      <c r="FH95" s="3">
        <f>FF95*FG95</f>
        <v>0</v>
      </c>
      <c r="FI95" s="1">
        <f>DX95+EB95+EF95+EJ95+EN95+ER95+EZ95+EV95+FD95+FH95</f>
        <v>760000</v>
      </c>
      <c r="FJ95" s="3" t="s">
        <v>139</v>
      </c>
      <c r="FK95" s="2">
        <v>40</v>
      </c>
      <c r="FL95" s="3">
        <v>6000</v>
      </c>
      <c r="FM95" s="3">
        <f t="shared" si="318"/>
        <v>240000</v>
      </c>
      <c r="FN95" s="3" t="s">
        <v>139</v>
      </c>
      <c r="FO95" s="3"/>
      <c r="FP95" s="3">
        <v>6000</v>
      </c>
      <c r="FQ95" s="3">
        <f t="shared" si="319"/>
        <v>0</v>
      </c>
      <c r="FR95" s="3" t="s">
        <v>139</v>
      </c>
      <c r="FS95" s="15"/>
      <c r="FT95" s="15">
        <v>6000</v>
      </c>
      <c r="FU95" s="3">
        <f t="shared" si="320"/>
        <v>0</v>
      </c>
      <c r="FV95" s="3" t="s">
        <v>139</v>
      </c>
      <c r="FW95" s="15"/>
      <c r="FX95" s="3">
        <v>8000</v>
      </c>
      <c r="FY95" s="3">
        <f t="shared" si="321"/>
        <v>0</v>
      </c>
      <c r="FZ95" s="3" t="s">
        <v>139</v>
      </c>
      <c r="GA95" s="3">
        <v>2</v>
      </c>
      <c r="GB95" s="3">
        <v>8000</v>
      </c>
      <c r="GC95" s="3">
        <f t="shared" si="322"/>
        <v>16000</v>
      </c>
      <c r="GD95" s="3" t="s">
        <v>139</v>
      </c>
      <c r="GE95" s="3">
        <v>10</v>
      </c>
      <c r="GF95" s="3">
        <v>10000</v>
      </c>
      <c r="GG95" s="3">
        <f t="shared" si="323"/>
        <v>100000</v>
      </c>
      <c r="GH95" s="3" t="s">
        <v>139</v>
      </c>
      <c r="GI95" s="15"/>
      <c r="GJ95" s="15"/>
      <c r="GK95" s="3">
        <f t="shared" si="324"/>
        <v>0</v>
      </c>
      <c r="GL95" s="63">
        <f t="shared" si="325"/>
        <v>356000</v>
      </c>
      <c r="GM95" s="8">
        <f t="shared" si="305"/>
        <v>2386000</v>
      </c>
      <c r="GN95" s="8">
        <f>X95*1000</f>
        <v>1300</v>
      </c>
      <c r="GO95" s="105">
        <v>2000</v>
      </c>
      <c r="GP95" s="8">
        <f>GN95*GO95</f>
        <v>2600000</v>
      </c>
      <c r="GQ95" s="8">
        <f>(GO95*Y95*1000)</f>
        <v>6000000</v>
      </c>
      <c r="GR95" s="8">
        <f t="shared" si="187"/>
        <v>214000</v>
      </c>
      <c r="GS95" s="8">
        <f t="shared" si="188"/>
        <v>3614000</v>
      </c>
      <c r="GT95" s="61" t="s">
        <v>1842</v>
      </c>
      <c r="GU95" s="59" t="s">
        <v>1630</v>
      </c>
    </row>
    <row r="96" spans="1:280" s="26" customFormat="1" ht="158.25" customHeight="1">
      <c r="A96" s="44">
        <v>97</v>
      </c>
      <c r="B96" s="23" t="s">
        <v>802</v>
      </c>
      <c r="C96" s="13" t="s">
        <v>1632</v>
      </c>
      <c r="D96" s="15" t="s">
        <v>1631</v>
      </c>
      <c r="E96" s="13" t="s">
        <v>803</v>
      </c>
      <c r="F96" s="15" t="s">
        <v>803</v>
      </c>
      <c r="G96" s="15" t="s">
        <v>1633</v>
      </c>
      <c r="H96" s="13" t="s">
        <v>799</v>
      </c>
      <c r="I96" s="15" t="s">
        <v>1634</v>
      </c>
      <c r="J96" s="15" t="s">
        <v>1635</v>
      </c>
      <c r="K96" s="15" t="s">
        <v>1636</v>
      </c>
      <c r="L96" s="15" t="s">
        <v>1637</v>
      </c>
      <c r="M96" s="15" t="s">
        <v>1638</v>
      </c>
      <c r="N96" s="15" t="s">
        <v>1639</v>
      </c>
      <c r="O96" s="15" t="s">
        <v>1640</v>
      </c>
      <c r="P96" s="13" t="s">
        <v>1641</v>
      </c>
      <c r="Q96" s="13" t="s">
        <v>1180</v>
      </c>
      <c r="R96" s="15">
        <v>2000</v>
      </c>
      <c r="S96" s="15">
        <v>3000</v>
      </c>
      <c r="T96" s="15">
        <v>2000</v>
      </c>
      <c r="U96" s="15">
        <v>1095</v>
      </c>
      <c r="V96" s="15">
        <v>5475</v>
      </c>
      <c r="W96" s="15" t="s">
        <v>1642</v>
      </c>
      <c r="X96" s="15">
        <v>0.3</v>
      </c>
      <c r="Y96" s="15">
        <v>1.2</v>
      </c>
      <c r="Z96" s="15" t="s">
        <v>1643</v>
      </c>
      <c r="AA96" s="15" t="s">
        <v>1644</v>
      </c>
      <c r="AB96" s="15" t="s">
        <v>1645</v>
      </c>
      <c r="AC96" s="3">
        <v>50000</v>
      </c>
      <c r="AD96" s="3">
        <v>10</v>
      </c>
      <c r="AE96" s="13"/>
      <c r="AF96" s="3">
        <v>80000</v>
      </c>
      <c r="AG96" s="3">
        <f t="shared" si="211"/>
        <v>500000</v>
      </c>
      <c r="AH96" s="3" t="s">
        <v>1646</v>
      </c>
      <c r="AI96" s="13"/>
      <c r="AJ96" s="15">
        <v>1000</v>
      </c>
      <c r="AK96" s="15">
        <v>100</v>
      </c>
      <c r="AL96" s="15">
        <v>6000</v>
      </c>
      <c r="AM96" s="15"/>
      <c r="AN96" s="15">
        <v>3000</v>
      </c>
      <c r="AO96" s="42"/>
      <c r="AP96" s="15">
        <v>6000</v>
      </c>
      <c r="AQ96" s="2">
        <f t="shared" si="199"/>
        <v>600000</v>
      </c>
      <c r="AR96" s="3" t="s">
        <v>1648</v>
      </c>
      <c r="AS96" s="15" t="s">
        <v>1647</v>
      </c>
      <c r="AT96" s="2" t="s">
        <v>139</v>
      </c>
      <c r="AU96" s="36"/>
      <c r="AV96" s="3">
        <v>6000</v>
      </c>
      <c r="AW96" s="2">
        <f>AU96*AV96</f>
        <v>0</v>
      </c>
      <c r="AX96" s="3" t="s">
        <v>139</v>
      </c>
      <c r="AY96" s="3"/>
      <c r="AZ96" s="3">
        <v>6000</v>
      </c>
      <c r="BA96" s="3">
        <f>AY96*AZ96</f>
        <v>0</v>
      </c>
      <c r="BB96" s="3" t="s">
        <v>139</v>
      </c>
      <c r="BC96" s="34"/>
      <c r="BD96" s="3">
        <v>6000</v>
      </c>
      <c r="BE96" s="3">
        <f>BC96*BD96</f>
        <v>0</v>
      </c>
      <c r="BF96" s="3" t="s">
        <v>125</v>
      </c>
      <c r="BG96" s="3"/>
      <c r="BH96" s="3">
        <v>6000</v>
      </c>
      <c r="BI96" s="3">
        <f>BG96*BH96</f>
        <v>0</v>
      </c>
      <c r="BJ96" s="13" t="s">
        <v>20</v>
      </c>
      <c r="BK96" s="14"/>
      <c r="BL96" s="3">
        <v>1000</v>
      </c>
      <c r="BM96" s="3">
        <f t="shared" si="258"/>
        <v>0</v>
      </c>
      <c r="BN96" s="2" t="s">
        <v>126</v>
      </c>
      <c r="BO96" s="13"/>
      <c r="BP96" s="2">
        <v>3000</v>
      </c>
      <c r="BQ96" s="14">
        <f>BO96*BP96</f>
        <v>0</v>
      </c>
      <c r="BR96" s="2" t="s">
        <v>126</v>
      </c>
      <c r="BS96" s="2"/>
      <c r="BT96" s="2">
        <v>6000</v>
      </c>
      <c r="BU96" s="3">
        <f>BS96*BT96</f>
        <v>0</v>
      </c>
      <c r="BV96" s="2" t="s">
        <v>126</v>
      </c>
      <c r="BW96" s="2"/>
      <c r="BX96" s="2">
        <v>6000</v>
      </c>
      <c r="BY96" s="3">
        <f>BW96*BX96</f>
        <v>0</v>
      </c>
      <c r="BZ96" s="92">
        <f>AW96+BE96+BM96+BQ96+BU96+BI96+BY96</f>
        <v>0</v>
      </c>
      <c r="CA96" s="2" t="s">
        <v>139</v>
      </c>
      <c r="CB96" s="3">
        <v>5</v>
      </c>
      <c r="CC96" s="3">
        <v>8000</v>
      </c>
      <c r="CD96" s="3">
        <f t="shared" si="200"/>
        <v>40000</v>
      </c>
      <c r="CE96" s="3" t="s">
        <v>125</v>
      </c>
      <c r="CF96" s="3">
        <v>30</v>
      </c>
      <c r="CG96" s="3">
        <v>6000</v>
      </c>
      <c r="CH96" s="3">
        <f t="shared" si="201"/>
        <v>180000</v>
      </c>
      <c r="CI96" s="3" t="s">
        <v>139</v>
      </c>
      <c r="CJ96" s="3">
        <v>1</v>
      </c>
      <c r="CK96" s="13"/>
      <c r="CL96" s="3">
        <f>CJ96*CK96</f>
        <v>0</v>
      </c>
      <c r="CM96" s="5">
        <f t="shared" si="327"/>
        <v>220000</v>
      </c>
      <c r="CN96" s="3" t="s">
        <v>125</v>
      </c>
      <c r="CO96" s="3">
        <v>0</v>
      </c>
      <c r="CP96" s="3">
        <v>6000</v>
      </c>
      <c r="CQ96" s="3">
        <f t="shared" si="309"/>
        <v>0</v>
      </c>
      <c r="CR96" s="3" t="s">
        <v>125</v>
      </c>
      <c r="CS96" s="3">
        <v>75</v>
      </c>
      <c r="CT96" s="3">
        <v>6000</v>
      </c>
      <c r="CU96" s="3">
        <f t="shared" si="310"/>
        <v>450000</v>
      </c>
      <c r="CV96" s="3" t="s">
        <v>125</v>
      </c>
      <c r="CW96" s="3">
        <v>30</v>
      </c>
      <c r="CX96" s="3">
        <v>6000</v>
      </c>
      <c r="CY96" s="3">
        <f t="shared" si="311"/>
        <v>180000</v>
      </c>
      <c r="CZ96" s="3" t="s">
        <v>125</v>
      </c>
      <c r="DA96" s="3">
        <v>15</v>
      </c>
      <c r="DB96" s="3">
        <v>6000</v>
      </c>
      <c r="DC96" s="3">
        <f t="shared" si="312"/>
        <v>90000</v>
      </c>
      <c r="DD96" s="3" t="s">
        <v>125</v>
      </c>
      <c r="DE96" s="3">
        <v>5</v>
      </c>
      <c r="DF96" s="3">
        <v>6000</v>
      </c>
      <c r="DG96" s="3">
        <f t="shared" si="313"/>
        <v>30000</v>
      </c>
      <c r="DH96" s="3" t="s">
        <v>125</v>
      </c>
      <c r="DI96" s="3">
        <v>100</v>
      </c>
      <c r="DJ96" s="3">
        <v>6000</v>
      </c>
      <c r="DK96" s="3">
        <f t="shared" si="314"/>
        <v>600000</v>
      </c>
      <c r="DL96" s="3" t="s">
        <v>125</v>
      </c>
      <c r="DM96" s="3"/>
      <c r="DN96" s="3">
        <v>6000</v>
      </c>
      <c r="DO96" s="3">
        <f t="shared" si="315"/>
        <v>0</v>
      </c>
      <c r="DP96" s="3" t="s">
        <v>125</v>
      </c>
      <c r="DQ96" s="3"/>
      <c r="DR96" s="3">
        <v>6000</v>
      </c>
      <c r="DS96" s="3">
        <f t="shared" si="316"/>
        <v>0</v>
      </c>
      <c r="DT96" s="6">
        <f t="shared" si="317"/>
        <v>1350000</v>
      </c>
      <c r="DU96" s="2" t="s">
        <v>157</v>
      </c>
      <c r="DV96" s="3">
        <f>R96</f>
        <v>2000</v>
      </c>
      <c r="DW96" s="3">
        <f>T96</f>
        <v>2000</v>
      </c>
      <c r="DX96" s="3">
        <f t="shared" si="328"/>
        <v>4000000</v>
      </c>
      <c r="DY96" s="3" t="s">
        <v>127</v>
      </c>
      <c r="DZ96" s="3">
        <f>AD96</f>
        <v>10</v>
      </c>
      <c r="EA96" s="2">
        <v>50000</v>
      </c>
      <c r="EB96" s="3">
        <f>DZ96*EA96</f>
        <v>500000</v>
      </c>
      <c r="EC96" s="2" t="s">
        <v>127</v>
      </c>
      <c r="ED96" s="3">
        <f>AE96</f>
        <v>0</v>
      </c>
      <c r="EE96" s="3">
        <v>80000</v>
      </c>
      <c r="EF96" s="3">
        <f>ED96*EE96</f>
        <v>0</v>
      </c>
      <c r="EG96" s="2" t="s">
        <v>157</v>
      </c>
      <c r="EH96" s="3">
        <f>AK96</f>
        <v>100</v>
      </c>
      <c r="EI96" s="3">
        <v>6000</v>
      </c>
      <c r="EJ96" s="7">
        <f>EH96*EI96</f>
        <v>600000</v>
      </c>
      <c r="EK96" s="2" t="s">
        <v>157</v>
      </c>
      <c r="EL96" s="13">
        <f>AM96</f>
        <v>0</v>
      </c>
      <c r="EM96" s="3">
        <v>3000</v>
      </c>
      <c r="EN96" s="3">
        <f>EL96*EM96</f>
        <v>0</v>
      </c>
      <c r="EO96" s="3" t="s">
        <v>126</v>
      </c>
      <c r="EP96" s="3">
        <f>AI96</f>
        <v>0</v>
      </c>
      <c r="EQ96" s="3">
        <v>1000</v>
      </c>
      <c r="ER96" s="7">
        <f>EP96*EQ96</f>
        <v>0</v>
      </c>
      <c r="ES96" s="3" t="s">
        <v>124</v>
      </c>
      <c r="ET96" s="3">
        <v>1</v>
      </c>
      <c r="EU96" s="3">
        <v>60000</v>
      </c>
      <c r="EV96" s="3">
        <f>ET96*EU96</f>
        <v>60000</v>
      </c>
      <c r="EW96" s="3" t="s">
        <v>124</v>
      </c>
      <c r="EX96" s="3"/>
      <c r="EY96" s="3">
        <v>60000</v>
      </c>
      <c r="EZ96" s="3">
        <f>EX96*EY96</f>
        <v>0</v>
      </c>
      <c r="FA96" s="3" t="s">
        <v>170</v>
      </c>
      <c r="FB96" s="14"/>
      <c r="FC96" s="3">
        <v>1000</v>
      </c>
      <c r="FD96" s="3">
        <f>FB96*FC96</f>
        <v>0</v>
      </c>
      <c r="FE96" s="3" t="s">
        <v>126</v>
      </c>
      <c r="FF96" s="3">
        <f>AO96</f>
        <v>0</v>
      </c>
      <c r="FG96" s="3">
        <v>6000</v>
      </c>
      <c r="FH96" s="3">
        <f>FF96*FG96</f>
        <v>0</v>
      </c>
      <c r="FI96" s="1">
        <f>DX96+EB96+EF96+EJ96+EN96+ER96+EZ96+EV96+FD96+FH96</f>
        <v>5160000</v>
      </c>
      <c r="FJ96" s="3" t="s">
        <v>139</v>
      </c>
      <c r="FK96" s="2">
        <v>40</v>
      </c>
      <c r="FL96" s="2">
        <v>6000</v>
      </c>
      <c r="FM96" s="3">
        <f>FK96*FL96</f>
        <v>240000</v>
      </c>
      <c r="FN96" s="3" t="s">
        <v>139</v>
      </c>
      <c r="FO96" s="2"/>
      <c r="FP96" s="3">
        <v>6000</v>
      </c>
      <c r="FQ96" s="3">
        <f>FO96*FP96</f>
        <v>0</v>
      </c>
      <c r="FR96" s="3" t="s">
        <v>139</v>
      </c>
      <c r="FS96" s="13"/>
      <c r="FT96" s="15">
        <v>6000</v>
      </c>
      <c r="FU96" s="3">
        <f>FS96*FT96</f>
        <v>0</v>
      </c>
      <c r="FV96" s="3" t="s">
        <v>139</v>
      </c>
      <c r="FW96" s="14"/>
      <c r="FX96" s="3">
        <v>8000</v>
      </c>
      <c r="FY96" s="3">
        <f>FW96*FX96</f>
        <v>0</v>
      </c>
      <c r="FZ96" s="3" t="s">
        <v>139</v>
      </c>
      <c r="GA96" s="3">
        <v>2</v>
      </c>
      <c r="GB96" s="3">
        <v>8000</v>
      </c>
      <c r="GC96" s="3">
        <f>GA96*GB96</f>
        <v>16000</v>
      </c>
      <c r="GD96" s="3" t="s">
        <v>139</v>
      </c>
      <c r="GE96" s="3">
        <v>10</v>
      </c>
      <c r="GF96" s="3">
        <v>10000</v>
      </c>
      <c r="GG96" s="3">
        <f>GE96*GF96</f>
        <v>100000</v>
      </c>
      <c r="GH96" s="3" t="s">
        <v>139</v>
      </c>
      <c r="GI96" s="3"/>
      <c r="GJ96" s="13"/>
      <c r="GK96" s="3">
        <f>GI96*GJ96</f>
        <v>0</v>
      </c>
      <c r="GL96" s="92">
        <f>FM96+FQ96+FU96+FY96+GC96+GG96+GK96</f>
        <v>356000</v>
      </c>
      <c r="GM96" s="94">
        <f>BZ96+CM96+DT96+FI96+GL96</f>
        <v>7086000</v>
      </c>
      <c r="GN96" s="8">
        <f>X96*1000</f>
        <v>300</v>
      </c>
      <c r="GO96" s="101">
        <v>38000</v>
      </c>
      <c r="GP96" s="8">
        <f>GN96*GO96</f>
        <v>11400000</v>
      </c>
      <c r="GQ96" s="8">
        <f>(GO96*Y96*1000)</f>
        <v>45600000</v>
      </c>
      <c r="GR96" s="8">
        <f t="shared" si="187"/>
        <v>4314000</v>
      </c>
      <c r="GS96" s="8">
        <f t="shared" si="188"/>
        <v>38514000</v>
      </c>
      <c r="GT96" s="61" t="s">
        <v>1843</v>
      </c>
      <c r="GU96" s="47" t="s">
        <v>1649</v>
      </c>
    </row>
    <row r="97" spans="1:203" s="26" customFormat="1" ht="158.25" customHeight="1">
      <c r="A97" s="44">
        <v>98</v>
      </c>
      <c r="B97" s="22" t="s">
        <v>805</v>
      </c>
      <c r="C97" s="15" t="s">
        <v>1650</v>
      </c>
      <c r="D97" s="15" t="s">
        <v>1651</v>
      </c>
      <c r="E97" s="13" t="s">
        <v>1652</v>
      </c>
      <c r="F97" s="15" t="s">
        <v>1653</v>
      </c>
      <c r="G97" s="15" t="s">
        <v>1654</v>
      </c>
      <c r="H97" s="13" t="s">
        <v>84</v>
      </c>
      <c r="I97" s="15" t="s">
        <v>1655</v>
      </c>
      <c r="J97" s="15" t="s">
        <v>1656</v>
      </c>
      <c r="K97" s="13" t="s">
        <v>1657</v>
      </c>
      <c r="L97" s="15" t="s">
        <v>1658</v>
      </c>
      <c r="M97" s="15" t="s">
        <v>1659</v>
      </c>
      <c r="N97" s="15" t="s">
        <v>1660</v>
      </c>
      <c r="O97" s="7" t="s">
        <v>1661</v>
      </c>
      <c r="P97" s="15" t="s">
        <v>1662</v>
      </c>
      <c r="Q97" s="68" t="s">
        <v>997</v>
      </c>
      <c r="R97" s="15">
        <v>80</v>
      </c>
      <c r="S97" s="7">
        <v>120</v>
      </c>
      <c r="T97" s="15">
        <v>6000</v>
      </c>
      <c r="U97" s="15">
        <v>70</v>
      </c>
      <c r="V97" s="15">
        <v>100</v>
      </c>
      <c r="W97" s="15" t="s">
        <v>1663</v>
      </c>
      <c r="X97" s="7">
        <v>1.8</v>
      </c>
      <c r="Y97" s="15">
        <v>2.5</v>
      </c>
      <c r="Z97" s="15" t="s">
        <v>1664</v>
      </c>
      <c r="AA97" s="15" t="s">
        <v>1665</v>
      </c>
      <c r="AB97" s="15" t="s">
        <v>1666</v>
      </c>
      <c r="AC97" s="3">
        <v>50000</v>
      </c>
      <c r="AD97" s="13">
        <v>5</v>
      </c>
      <c r="AE97" s="13"/>
      <c r="AF97" s="3">
        <v>80000</v>
      </c>
      <c r="AG97" s="3">
        <f t="shared" si="211"/>
        <v>250000</v>
      </c>
      <c r="AH97" s="15" t="s">
        <v>1910</v>
      </c>
      <c r="AI97" s="13"/>
      <c r="AJ97" s="15">
        <v>1000</v>
      </c>
      <c r="AK97" s="16"/>
      <c r="AL97" s="15">
        <v>6000</v>
      </c>
      <c r="AM97" s="15"/>
      <c r="AN97" s="15">
        <v>3000</v>
      </c>
      <c r="AO97" s="42"/>
      <c r="AP97" s="15">
        <v>6000</v>
      </c>
      <c r="AQ97" s="2">
        <f t="shared" si="199"/>
        <v>0</v>
      </c>
      <c r="AR97" s="15" t="s">
        <v>1667</v>
      </c>
      <c r="AS97" s="15" t="s">
        <v>1668</v>
      </c>
      <c r="AT97" s="2" t="s">
        <v>139</v>
      </c>
      <c r="AU97" s="36"/>
      <c r="AV97" s="3">
        <v>6000</v>
      </c>
      <c r="AW97" s="2">
        <f>AU97*AV97</f>
        <v>0</v>
      </c>
      <c r="AX97" s="3" t="s">
        <v>139</v>
      </c>
      <c r="AY97" s="13"/>
      <c r="AZ97" s="3">
        <v>6000</v>
      </c>
      <c r="BA97" s="3">
        <f>AY97*AZ97</f>
        <v>0</v>
      </c>
      <c r="BB97" s="3" t="s">
        <v>139</v>
      </c>
      <c r="BC97" s="34"/>
      <c r="BD97" s="3">
        <v>6000</v>
      </c>
      <c r="BE97" s="3">
        <f>BC97*BD97</f>
        <v>0</v>
      </c>
      <c r="BF97" s="3" t="s">
        <v>125</v>
      </c>
      <c r="BG97" s="3"/>
      <c r="BH97" s="3">
        <v>6000</v>
      </c>
      <c r="BI97" s="3">
        <f>BG97*BH97</f>
        <v>0</v>
      </c>
      <c r="BJ97" s="13" t="s">
        <v>20</v>
      </c>
      <c r="BK97" s="14"/>
      <c r="BL97" s="3">
        <v>1000</v>
      </c>
      <c r="BM97" s="3">
        <f t="shared" si="258"/>
        <v>0</v>
      </c>
      <c r="BN97" s="2" t="s">
        <v>126</v>
      </c>
      <c r="BO97" s="13"/>
      <c r="BP97" s="2">
        <v>3000</v>
      </c>
      <c r="BQ97" s="13"/>
      <c r="BR97" s="2" t="s">
        <v>126</v>
      </c>
      <c r="BS97" s="13"/>
      <c r="BT97" s="2">
        <f>6000</f>
        <v>6000</v>
      </c>
      <c r="BU97" s="3">
        <f>BS97*BT97</f>
        <v>0</v>
      </c>
      <c r="BV97" s="2" t="s">
        <v>126</v>
      </c>
      <c r="BW97" s="2"/>
      <c r="BX97" s="2">
        <v>6000</v>
      </c>
      <c r="BY97" s="3">
        <f>BW97*BX97</f>
        <v>0</v>
      </c>
      <c r="BZ97" s="92">
        <f>AW97+BE97+BM97+BQ97+BU97+BI97+BY97</f>
        <v>0</v>
      </c>
      <c r="CA97" s="2" t="s">
        <v>139</v>
      </c>
      <c r="CB97" s="3">
        <v>5</v>
      </c>
      <c r="CC97" s="3">
        <v>8000</v>
      </c>
      <c r="CD97" s="3">
        <f t="shared" si="200"/>
        <v>40000</v>
      </c>
      <c r="CE97" s="3" t="s">
        <v>125</v>
      </c>
      <c r="CF97" s="3">
        <v>30</v>
      </c>
      <c r="CG97" s="3">
        <v>6000</v>
      </c>
      <c r="CH97" s="3">
        <f t="shared" si="201"/>
        <v>180000</v>
      </c>
      <c r="CI97" s="3" t="s">
        <v>139</v>
      </c>
      <c r="CJ97" s="3">
        <v>1</v>
      </c>
      <c r="CK97" s="13"/>
      <c r="CL97" s="3">
        <f>CJ97*CK97</f>
        <v>0</v>
      </c>
      <c r="CM97" s="5">
        <f t="shared" si="327"/>
        <v>220000</v>
      </c>
      <c r="CN97" s="3" t="s">
        <v>125</v>
      </c>
      <c r="CO97" s="3">
        <v>0</v>
      </c>
      <c r="CP97" s="3">
        <v>6000</v>
      </c>
      <c r="CQ97" s="3">
        <f t="shared" si="309"/>
        <v>0</v>
      </c>
      <c r="CR97" s="3" t="s">
        <v>125</v>
      </c>
      <c r="CS97" s="3">
        <v>75</v>
      </c>
      <c r="CT97" s="3">
        <v>6000</v>
      </c>
      <c r="CU97" s="3">
        <f t="shared" si="310"/>
        <v>450000</v>
      </c>
      <c r="CV97" s="3" t="s">
        <v>125</v>
      </c>
      <c r="CW97" s="3">
        <v>30</v>
      </c>
      <c r="CX97" s="3">
        <v>6000</v>
      </c>
      <c r="CY97" s="3">
        <f t="shared" si="311"/>
        <v>180000</v>
      </c>
      <c r="CZ97" s="3" t="s">
        <v>125</v>
      </c>
      <c r="DA97" s="3">
        <v>15</v>
      </c>
      <c r="DB97" s="3">
        <v>6000</v>
      </c>
      <c r="DC97" s="3">
        <f t="shared" si="312"/>
        <v>90000</v>
      </c>
      <c r="DD97" s="3" t="s">
        <v>125</v>
      </c>
      <c r="DE97" s="3">
        <v>5</v>
      </c>
      <c r="DF97" s="3">
        <v>6000</v>
      </c>
      <c r="DG97" s="3">
        <f t="shared" si="313"/>
        <v>30000</v>
      </c>
      <c r="DH97" s="3" t="s">
        <v>125</v>
      </c>
      <c r="DI97" s="3">
        <v>100</v>
      </c>
      <c r="DJ97" s="3">
        <v>6000</v>
      </c>
      <c r="DK97" s="3">
        <f t="shared" si="314"/>
        <v>600000</v>
      </c>
      <c r="DL97" s="3" t="s">
        <v>125</v>
      </c>
      <c r="DM97" s="3"/>
      <c r="DN97" s="3">
        <v>6000</v>
      </c>
      <c r="DO97" s="3">
        <f t="shared" si="315"/>
        <v>0</v>
      </c>
      <c r="DP97" s="3" t="s">
        <v>125</v>
      </c>
      <c r="DQ97" s="3"/>
      <c r="DR97" s="3">
        <v>6000</v>
      </c>
      <c r="DS97" s="3">
        <f t="shared" si="316"/>
        <v>0</v>
      </c>
      <c r="DT97" s="6">
        <f t="shared" si="317"/>
        <v>1350000</v>
      </c>
      <c r="DU97" s="2" t="s">
        <v>157</v>
      </c>
      <c r="DV97" s="3">
        <f>R97</f>
        <v>80</v>
      </c>
      <c r="DW97" s="3">
        <f>T97</f>
        <v>6000</v>
      </c>
      <c r="DX97" s="3">
        <f t="shared" si="328"/>
        <v>480000</v>
      </c>
      <c r="DY97" s="3" t="s">
        <v>127</v>
      </c>
      <c r="DZ97" s="3">
        <f>AD97</f>
        <v>5</v>
      </c>
      <c r="EA97" s="2">
        <v>50000</v>
      </c>
      <c r="EB97" s="3">
        <f>DZ97*EA97</f>
        <v>250000</v>
      </c>
      <c r="EC97" s="2" t="s">
        <v>127</v>
      </c>
      <c r="ED97" s="3">
        <f>AE97</f>
        <v>0</v>
      </c>
      <c r="EE97" s="3">
        <v>80000</v>
      </c>
      <c r="EF97" s="3">
        <f>ED97*EE97</f>
        <v>0</v>
      </c>
      <c r="EG97" s="2" t="s">
        <v>157</v>
      </c>
      <c r="EH97" s="3">
        <f>AK97</f>
        <v>0</v>
      </c>
      <c r="EI97" s="3">
        <v>6000</v>
      </c>
      <c r="EJ97" s="7">
        <f>EH97*EI97</f>
        <v>0</v>
      </c>
      <c r="EK97" s="2" t="s">
        <v>157</v>
      </c>
      <c r="EL97" s="13">
        <f>AM97</f>
        <v>0</v>
      </c>
      <c r="EM97" s="3">
        <v>3000</v>
      </c>
      <c r="EN97" s="3">
        <f>EL97*EM97</f>
        <v>0</v>
      </c>
      <c r="EO97" s="3" t="s">
        <v>126</v>
      </c>
      <c r="EP97" s="3">
        <f>AI97</f>
        <v>0</v>
      </c>
      <c r="EQ97" s="3">
        <v>1000</v>
      </c>
      <c r="ER97" s="7">
        <f>EP97*EQ97</f>
        <v>0</v>
      </c>
      <c r="ES97" s="3" t="s">
        <v>124</v>
      </c>
      <c r="ET97" s="3">
        <v>1</v>
      </c>
      <c r="EU97" s="3">
        <v>60000</v>
      </c>
      <c r="EV97" s="3">
        <f>ET97*EU97</f>
        <v>60000</v>
      </c>
      <c r="EW97" s="3" t="s">
        <v>124</v>
      </c>
      <c r="EX97" s="13"/>
      <c r="EY97" s="3">
        <v>60000</v>
      </c>
      <c r="EZ97" s="3">
        <f>EX97*EY97</f>
        <v>0</v>
      </c>
      <c r="FA97" s="3" t="s">
        <v>170</v>
      </c>
      <c r="FB97" s="14"/>
      <c r="FC97" s="3">
        <v>1000</v>
      </c>
      <c r="FD97" s="3">
        <f>FB97*FC97</f>
        <v>0</v>
      </c>
      <c r="FE97" s="3" t="s">
        <v>126</v>
      </c>
      <c r="FF97" s="3">
        <f>AO97</f>
        <v>0</v>
      </c>
      <c r="FG97" s="3">
        <v>6000</v>
      </c>
      <c r="FH97" s="3">
        <f>FF97*FG97</f>
        <v>0</v>
      </c>
      <c r="FI97" s="1">
        <f>DX97+EB97+EF97+EJ97+EN97+ER97+EZ97+EV97+FD97+FH97</f>
        <v>790000</v>
      </c>
      <c r="FJ97" s="3" t="s">
        <v>139</v>
      </c>
      <c r="FK97" s="2">
        <v>40</v>
      </c>
      <c r="FL97" s="2">
        <v>6000</v>
      </c>
      <c r="FM97" s="3">
        <f>FK97*FL97</f>
        <v>240000</v>
      </c>
      <c r="FN97" s="3" t="s">
        <v>139</v>
      </c>
      <c r="FO97" s="2"/>
      <c r="FP97" s="3">
        <v>6000</v>
      </c>
      <c r="FQ97" s="3">
        <f>FO97*FP97</f>
        <v>0</v>
      </c>
      <c r="FR97" s="3" t="s">
        <v>139</v>
      </c>
      <c r="FS97" s="13">
        <v>10</v>
      </c>
      <c r="FT97" s="15">
        <v>6000</v>
      </c>
      <c r="FU97" s="3">
        <f>FS97*FT97</f>
        <v>60000</v>
      </c>
      <c r="FV97" s="3" t="s">
        <v>139</v>
      </c>
      <c r="FW97" s="14"/>
      <c r="FX97" s="3">
        <v>8000</v>
      </c>
      <c r="FY97" s="3">
        <f>FW97*FX97</f>
        <v>0</v>
      </c>
      <c r="FZ97" s="3" t="s">
        <v>139</v>
      </c>
      <c r="GA97" s="3">
        <v>2</v>
      </c>
      <c r="GB97" s="3">
        <v>8000</v>
      </c>
      <c r="GC97" s="3">
        <f>GA97*GB97</f>
        <v>16000</v>
      </c>
      <c r="GD97" s="3" t="s">
        <v>139</v>
      </c>
      <c r="GE97" s="3">
        <v>10</v>
      </c>
      <c r="GF97" s="3">
        <v>10000</v>
      </c>
      <c r="GG97" s="3">
        <f>GE97*GF97</f>
        <v>100000</v>
      </c>
      <c r="GH97" s="3" t="s">
        <v>139</v>
      </c>
      <c r="GI97" s="13"/>
      <c r="GJ97" s="13"/>
      <c r="GK97" s="3">
        <f>GI97*GJ97</f>
        <v>0</v>
      </c>
      <c r="GL97" s="92">
        <f>FM97+FQ97+FU97+FY97+GC97+GG97+GK97</f>
        <v>416000</v>
      </c>
      <c r="GM97" s="8">
        <f>BZ97+CM97+DT97+FI97+GL97</f>
        <v>2776000</v>
      </c>
      <c r="GN97" s="8">
        <f>X97*1000</f>
        <v>1800</v>
      </c>
      <c r="GO97" s="101">
        <v>1800</v>
      </c>
      <c r="GP97" s="8">
        <f>GN97*GO97</f>
        <v>3240000</v>
      </c>
      <c r="GQ97" s="8">
        <f>(GO97*Y97*1000)</f>
        <v>4500000</v>
      </c>
      <c r="GR97" s="8">
        <f>GP97-GM97</f>
        <v>464000</v>
      </c>
      <c r="GS97" s="8">
        <f t="shared" si="188"/>
        <v>1724000</v>
      </c>
      <c r="GT97" s="15" t="s">
        <v>1844</v>
      </c>
      <c r="GU97" s="47" t="s">
        <v>1669</v>
      </c>
    </row>
    <row r="98" spans="1:203" s="26" customFormat="1" ht="158.25" customHeight="1">
      <c r="A98" s="44">
        <v>99</v>
      </c>
      <c r="B98" s="18" t="s">
        <v>1670</v>
      </c>
      <c r="C98" s="13" t="s">
        <v>1671</v>
      </c>
      <c r="D98" s="15" t="s">
        <v>1672</v>
      </c>
      <c r="E98" s="13" t="s">
        <v>1673</v>
      </c>
      <c r="F98" s="15" t="s">
        <v>1674</v>
      </c>
      <c r="G98" s="18" t="s">
        <v>1675</v>
      </c>
      <c r="H98" s="13" t="s">
        <v>815</v>
      </c>
      <c r="I98" s="15" t="s">
        <v>1676</v>
      </c>
      <c r="J98" s="15" t="s">
        <v>1677</v>
      </c>
      <c r="K98" s="15" t="s">
        <v>1678</v>
      </c>
      <c r="L98" s="15" t="s">
        <v>1679</v>
      </c>
      <c r="M98" s="15" t="s">
        <v>1680</v>
      </c>
      <c r="N98" s="15" t="s">
        <v>1681</v>
      </c>
      <c r="O98" s="15" t="s">
        <v>1682</v>
      </c>
      <c r="P98" s="15" t="s">
        <v>1683</v>
      </c>
      <c r="Q98" s="15" t="s">
        <v>1684</v>
      </c>
      <c r="R98" s="15">
        <v>150</v>
      </c>
      <c r="S98" s="15">
        <v>200</v>
      </c>
      <c r="T98" s="15">
        <v>1200</v>
      </c>
      <c r="U98" s="15">
        <v>1095</v>
      </c>
      <c r="V98" s="15">
        <v>29200</v>
      </c>
      <c r="W98" s="15" t="s">
        <v>1685</v>
      </c>
      <c r="X98" s="13">
        <v>3.5</v>
      </c>
      <c r="Y98" s="13">
        <v>15</v>
      </c>
      <c r="Z98" s="19" t="s">
        <v>1686</v>
      </c>
      <c r="AA98" s="19" t="s">
        <v>1687</v>
      </c>
      <c r="AB98" s="19" t="s">
        <v>1688</v>
      </c>
      <c r="AC98" s="3">
        <v>50000</v>
      </c>
      <c r="AD98" s="42">
        <v>5</v>
      </c>
      <c r="AE98" s="32"/>
      <c r="AF98" s="3">
        <v>80000</v>
      </c>
      <c r="AG98" s="3">
        <f t="shared" si="211"/>
        <v>250000</v>
      </c>
      <c r="AH98" s="13" t="s">
        <v>1689</v>
      </c>
      <c r="AI98" s="13">
        <v>30</v>
      </c>
      <c r="AJ98" s="15">
        <v>1000</v>
      </c>
      <c r="AK98" s="13">
        <v>50</v>
      </c>
      <c r="AL98" s="15">
        <v>6000</v>
      </c>
      <c r="AM98" s="15"/>
      <c r="AN98" s="15">
        <v>3000</v>
      </c>
      <c r="AO98" s="42"/>
      <c r="AP98" s="15">
        <v>6000</v>
      </c>
      <c r="AQ98" s="2">
        <f t="shared" si="199"/>
        <v>330000</v>
      </c>
      <c r="AR98" s="15" t="s">
        <v>1691</v>
      </c>
      <c r="AS98" s="15" t="s">
        <v>1690</v>
      </c>
      <c r="AT98" s="2" t="s">
        <v>139</v>
      </c>
      <c r="AU98" s="13">
        <v>7.5</v>
      </c>
      <c r="AV98" s="3">
        <v>6000</v>
      </c>
      <c r="AW98" s="2">
        <f t="shared" ref="AW98" si="329">AU98*AV98</f>
        <v>45000</v>
      </c>
      <c r="AX98" s="2" t="s">
        <v>139</v>
      </c>
      <c r="AY98" s="13">
        <v>5</v>
      </c>
      <c r="AZ98" s="3">
        <v>6000</v>
      </c>
      <c r="BA98" s="2">
        <f t="shared" ref="BA98" si="330">AY98*AZ98</f>
        <v>30000</v>
      </c>
      <c r="BB98" s="2" t="s">
        <v>139</v>
      </c>
      <c r="BC98" s="13">
        <v>2</v>
      </c>
      <c r="BD98" s="3">
        <v>6000</v>
      </c>
      <c r="BE98" s="3">
        <f t="shared" ref="BE98" si="331">BC98*BD98</f>
        <v>12000</v>
      </c>
      <c r="BF98" s="3" t="s">
        <v>125</v>
      </c>
      <c r="BG98" s="2">
        <v>2</v>
      </c>
      <c r="BH98" s="3">
        <v>6000</v>
      </c>
      <c r="BI98" s="3">
        <f t="shared" ref="BI98" si="332">BG98*BH98</f>
        <v>12000</v>
      </c>
      <c r="BJ98" s="3" t="s">
        <v>126</v>
      </c>
      <c r="BK98" s="13"/>
      <c r="BL98" s="3">
        <v>1000</v>
      </c>
      <c r="BM98" s="3">
        <f t="shared" si="258"/>
        <v>0</v>
      </c>
      <c r="BN98" s="13" t="s">
        <v>20</v>
      </c>
      <c r="BO98" s="13"/>
      <c r="BP98" s="2">
        <v>3000</v>
      </c>
      <c r="BQ98" s="3">
        <f>BO98*BP98</f>
        <v>0</v>
      </c>
      <c r="BR98" s="2" t="s">
        <v>126</v>
      </c>
      <c r="BS98" s="13"/>
      <c r="BT98" s="2">
        <f>6000</f>
        <v>6000</v>
      </c>
      <c r="BU98" s="3">
        <f t="shared" ref="BU98" si="333">BS98*BT98</f>
        <v>0</v>
      </c>
      <c r="BV98" s="2" t="s">
        <v>126</v>
      </c>
      <c r="BW98" s="13">
        <v>9</v>
      </c>
      <c r="BX98" s="2">
        <v>6000</v>
      </c>
      <c r="BY98" s="3">
        <f t="shared" ref="BY98" si="334">BW98*BX98</f>
        <v>54000</v>
      </c>
      <c r="BZ98" s="92">
        <f t="shared" ref="BZ98" si="335">AW98+BE98+BM98+BQ98+BU98+BI98+BY98</f>
        <v>123000</v>
      </c>
      <c r="CA98" s="2" t="s">
        <v>139</v>
      </c>
      <c r="CB98" s="3">
        <v>5</v>
      </c>
      <c r="CC98" s="3">
        <v>8000</v>
      </c>
      <c r="CD98" s="3">
        <f t="shared" si="200"/>
        <v>40000</v>
      </c>
      <c r="CE98" s="2" t="s">
        <v>139</v>
      </c>
      <c r="CF98" s="2">
        <v>30</v>
      </c>
      <c r="CG98" s="2">
        <v>6000</v>
      </c>
      <c r="CH98" s="3">
        <f t="shared" si="201"/>
        <v>180000</v>
      </c>
      <c r="CI98" s="3" t="s">
        <v>139</v>
      </c>
      <c r="CJ98" s="3">
        <v>1</v>
      </c>
      <c r="CK98" s="13"/>
      <c r="CL98" s="3">
        <f>CJ98*CK98</f>
        <v>0</v>
      </c>
      <c r="CM98" s="5">
        <f t="shared" si="327"/>
        <v>220000</v>
      </c>
      <c r="CN98" s="3" t="s">
        <v>125</v>
      </c>
      <c r="CO98" s="3">
        <v>0</v>
      </c>
      <c r="CP98" s="3">
        <v>6000</v>
      </c>
      <c r="CQ98" s="3">
        <f t="shared" ref="CQ98:CQ104" si="336">CO98*CP98</f>
        <v>0</v>
      </c>
      <c r="CR98" s="3" t="s">
        <v>125</v>
      </c>
      <c r="CS98" s="3">
        <v>75</v>
      </c>
      <c r="CT98" s="3">
        <v>6000</v>
      </c>
      <c r="CU98" s="3">
        <f t="shared" ref="CU98:CU104" si="337">CS98*CT98</f>
        <v>450000</v>
      </c>
      <c r="CV98" s="3" t="s">
        <v>125</v>
      </c>
      <c r="CW98" s="3">
        <v>30</v>
      </c>
      <c r="CX98" s="3">
        <v>6000</v>
      </c>
      <c r="CY98" s="3">
        <f t="shared" ref="CY98:CY104" si="338">CW98*CX98</f>
        <v>180000</v>
      </c>
      <c r="CZ98" s="3" t="s">
        <v>125</v>
      </c>
      <c r="DA98" s="3">
        <v>15</v>
      </c>
      <c r="DB98" s="3">
        <v>6000</v>
      </c>
      <c r="DC98" s="3">
        <f t="shared" ref="DC98:DC104" si="339">DA98*DB98</f>
        <v>90000</v>
      </c>
      <c r="DD98" s="3" t="s">
        <v>125</v>
      </c>
      <c r="DE98" s="3">
        <v>5</v>
      </c>
      <c r="DF98" s="3">
        <v>6000</v>
      </c>
      <c r="DG98" s="3">
        <f t="shared" ref="DG98:DG104" si="340">DE98*DF98</f>
        <v>30000</v>
      </c>
      <c r="DH98" s="3" t="s">
        <v>125</v>
      </c>
      <c r="DI98" s="3">
        <v>50</v>
      </c>
      <c r="DJ98" s="3">
        <v>6000</v>
      </c>
      <c r="DK98" s="3">
        <f t="shared" ref="DK98:DK104" si="341">DI98*DJ98</f>
        <v>300000</v>
      </c>
      <c r="DL98" s="3" t="s">
        <v>125</v>
      </c>
      <c r="DM98" s="3"/>
      <c r="DN98" s="3">
        <v>6000</v>
      </c>
      <c r="DO98" s="3">
        <f t="shared" ref="DO98:DO104" si="342">DM98*DN98</f>
        <v>0</v>
      </c>
      <c r="DP98" s="3" t="s">
        <v>125</v>
      </c>
      <c r="DQ98" s="3"/>
      <c r="DR98" s="3">
        <v>6000</v>
      </c>
      <c r="DS98" s="3">
        <f t="shared" ref="DS98:DS104" si="343">DQ98*DR98</f>
        <v>0</v>
      </c>
      <c r="DT98" s="6">
        <f t="shared" ref="DT98:DT104" si="344">CQ98+CU98+CY98+DC98+DG98+DK98+DO98+DS98</f>
        <v>1050000</v>
      </c>
      <c r="DU98" s="2" t="s">
        <v>157</v>
      </c>
      <c r="DV98" s="3">
        <f>R98</f>
        <v>150</v>
      </c>
      <c r="DW98" s="3">
        <f>T98</f>
        <v>1200</v>
      </c>
      <c r="DX98" s="3">
        <f t="shared" si="328"/>
        <v>180000</v>
      </c>
      <c r="DY98" s="3" t="s">
        <v>127</v>
      </c>
      <c r="DZ98" s="3">
        <f>AD98</f>
        <v>5</v>
      </c>
      <c r="EA98" s="2">
        <v>50000</v>
      </c>
      <c r="EB98" s="3">
        <f>DZ98*EA98</f>
        <v>250000</v>
      </c>
      <c r="EC98" s="2" t="s">
        <v>127</v>
      </c>
      <c r="ED98" s="3">
        <f>AE98</f>
        <v>0</v>
      </c>
      <c r="EE98" s="3">
        <v>80000</v>
      </c>
      <c r="EF98" s="3">
        <f>ED98*EE98</f>
        <v>0</v>
      </c>
      <c r="EG98" s="2" t="s">
        <v>157</v>
      </c>
      <c r="EH98" s="3">
        <f>AK98</f>
        <v>50</v>
      </c>
      <c r="EI98" s="3">
        <v>6000</v>
      </c>
      <c r="EJ98" s="7">
        <f>EH98*EI98</f>
        <v>300000</v>
      </c>
      <c r="EK98" s="2" t="s">
        <v>157</v>
      </c>
      <c r="EL98" s="13">
        <f>AM98</f>
        <v>0</v>
      </c>
      <c r="EM98" s="3">
        <v>3000</v>
      </c>
      <c r="EN98" s="3">
        <f>EL98*EM98</f>
        <v>0</v>
      </c>
      <c r="EO98" s="3" t="s">
        <v>126</v>
      </c>
      <c r="EP98" s="3">
        <f>AI98</f>
        <v>30</v>
      </c>
      <c r="EQ98" s="3">
        <v>1000</v>
      </c>
      <c r="ER98" s="7">
        <f>EP98*EQ98</f>
        <v>30000</v>
      </c>
      <c r="ES98" s="3" t="s">
        <v>124</v>
      </c>
      <c r="ET98" s="3">
        <v>1</v>
      </c>
      <c r="EU98" s="3">
        <v>60000</v>
      </c>
      <c r="EV98" s="3">
        <f>ET98*EU98</f>
        <v>60000</v>
      </c>
      <c r="EW98" s="3" t="s">
        <v>124</v>
      </c>
      <c r="EX98" s="13"/>
      <c r="EY98" s="3">
        <v>60000</v>
      </c>
      <c r="EZ98" s="3">
        <f>EX98*EY98</f>
        <v>0</v>
      </c>
      <c r="FA98" s="3" t="s">
        <v>170</v>
      </c>
      <c r="FB98" s="14"/>
      <c r="FC98" s="3">
        <v>1000</v>
      </c>
      <c r="FD98" s="3">
        <f>FB98*FC98</f>
        <v>0</v>
      </c>
      <c r="FE98" s="3" t="s">
        <v>126</v>
      </c>
      <c r="FF98" s="3">
        <f>AO98</f>
        <v>0</v>
      </c>
      <c r="FG98" s="3">
        <v>6000</v>
      </c>
      <c r="FH98" s="3">
        <f>FF98*FG98</f>
        <v>0</v>
      </c>
      <c r="FI98" s="1">
        <f>DX98+EB98+EF98+EJ98+EN98+ER98+EZ98+EV98+FD98+FH98</f>
        <v>820000</v>
      </c>
      <c r="FJ98" s="3" t="s">
        <v>139</v>
      </c>
      <c r="FK98" s="2">
        <v>40</v>
      </c>
      <c r="FL98" s="2">
        <v>6000</v>
      </c>
      <c r="FM98" s="3">
        <f>FK98*FL98</f>
        <v>240000</v>
      </c>
      <c r="FN98" s="3" t="s">
        <v>139</v>
      </c>
      <c r="FO98" s="2"/>
      <c r="FP98" s="3">
        <v>6000</v>
      </c>
      <c r="FQ98" s="3">
        <f>FO98*FP98</f>
        <v>0</v>
      </c>
      <c r="FR98" s="3" t="s">
        <v>139</v>
      </c>
      <c r="FS98" s="13"/>
      <c r="FT98" s="15">
        <v>6000</v>
      </c>
      <c r="FU98" s="3">
        <f>FS98*FT98</f>
        <v>0</v>
      </c>
      <c r="FV98" s="3" t="s">
        <v>139</v>
      </c>
      <c r="FW98" s="14"/>
      <c r="FX98" s="3">
        <v>8000</v>
      </c>
      <c r="FY98" s="3">
        <f>FW98*FX98</f>
        <v>0</v>
      </c>
      <c r="FZ98" s="3" t="s">
        <v>139</v>
      </c>
      <c r="GA98" s="3">
        <v>2</v>
      </c>
      <c r="GB98" s="3">
        <v>8000</v>
      </c>
      <c r="GC98" s="3">
        <f>GA98*GB98</f>
        <v>16000</v>
      </c>
      <c r="GD98" s="3" t="s">
        <v>139</v>
      </c>
      <c r="GE98" s="3">
        <v>10</v>
      </c>
      <c r="GF98" s="3">
        <v>10000</v>
      </c>
      <c r="GG98" s="3">
        <f>GE98*GF98</f>
        <v>100000</v>
      </c>
      <c r="GH98" s="3" t="s">
        <v>139</v>
      </c>
      <c r="GI98" s="13"/>
      <c r="GJ98" s="13"/>
      <c r="GK98" s="3">
        <f>GI98*GJ98</f>
        <v>0</v>
      </c>
      <c r="GL98" s="92">
        <f>FM98+FQ98+FU98+FY98+GC98+GG98+GK98</f>
        <v>356000</v>
      </c>
      <c r="GM98" s="8">
        <f>BZ98+CM98+DT98+FI98+GL98</f>
        <v>2569000</v>
      </c>
      <c r="GN98" s="8">
        <f>X98*1000</f>
        <v>3500</v>
      </c>
      <c r="GO98" s="101">
        <v>1300</v>
      </c>
      <c r="GP98" s="8">
        <f>GN98*GO98</f>
        <v>4550000</v>
      </c>
      <c r="GQ98" s="8">
        <f>(GO98*Y98*1000)</f>
        <v>19500000</v>
      </c>
      <c r="GR98" s="8">
        <f>GP98-GM98</f>
        <v>1981000</v>
      </c>
      <c r="GS98" s="8">
        <f>GQ98-GM98</f>
        <v>16931000</v>
      </c>
      <c r="GT98" s="15" t="s">
        <v>1846</v>
      </c>
      <c r="GU98" s="47" t="s">
        <v>1845</v>
      </c>
    </row>
    <row r="99" spans="1:203" s="38" customFormat="1" ht="158.25" customHeight="1">
      <c r="A99" s="44">
        <v>100</v>
      </c>
      <c r="B99" s="23" t="s">
        <v>828</v>
      </c>
      <c r="C99" s="13" t="s">
        <v>1692</v>
      </c>
      <c r="D99" s="15" t="s">
        <v>1693</v>
      </c>
      <c r="E99" s="13" t="s">
        <v>829</v>
      </c>
      <c r="F99" s="15" t="s">
        <v>829</v>
      </c>
      <c r="G99" s="14" t="s">
        <v>1694</v>
      </c>
      <c r="H99" s="13" t="s">
        <v>827</v>
      </c>
      <c r="I99" s="15" t="s">
        <v>1695</v>
      </c>
      <c r="J99" s="15" t="s">
        <v>1696</v>
      </c>
      <c r="K99" s="15" t="s">
        <v>1697</v>
      </c>
      <c r="L99" s="15" t="s">
        <v>1698</v>
      </c>
      <c r="M99" s="15" t="s">
        <v>1699</v>
      </c>
      <c r="N99" s="15" t="s">
        <v>1700</v>
      </c>
      <c r="O99" s="15" t="s">
        <v>1701</v>
      </c>
      <c r="P99" s="15" t="s">
        <v>1702</v>
      </c>
      <c r="Q99" s="15" t="s">
        <v>1684</v>
      </c>
      <c r="R99" s="15">
        <v>625</v>
      </c>
      <c r="S99" s="15">
        <v>1100</v>
      </c>
      <c r="T99" s="15">
        <v>2500</v>
      </c>
      <c r="U99" s="15">
        <v>6570</v>
      </c>
      <c r="V99" s="15">
        <v>14600</v>
      </c>
      <c r="W99" s="15" t="s">
        <v>1703</v>
      </c>
      <c r="X99" s="13">
        <v>5</v>
      </c>
      <c r="Y99" s="13">
        <v>10</v>
      </c>
      <c r="Z99" s="15" t="s">
        <v>1704</v>
      </c>
      <c r="AA99" s="15" t="s">
        <v>1705</v>
      </c>
      <c r="AB99" s="15" t="s">
        <v>1706</v>
      </c>
      <c r="AC99" s="3">
        <v>50000</v>
      </c>
      <c r="AD99" s="13">
        <v>3</v>
      </c>
      <c r="AE99" s="13"/>
      <c r="AF99" s="3">
        <v>80000</v>
      </c>
      <c r="AG99" s="3">
        <f t="shared" si="211"/>
        <v>150000</v>
      </c>
      <c r="AH99" s="13" t="s">
        <v>2016</v>
      </c>
      <c r="AI99" s="13"/>
      <c r="AJ99" s="15">
        <v>1000</v>
      </c>
      <c r="AK99" s="56">
        <v>50</v>
      </c>
      <c r="AL99" s="15">
        <v>6000</v>
      </c>
      <c r="AM99" s="15"/>
      <c r="AN99" s="15">
        <v>3000</v>
      </c>
      <c r="AO99" s="42"/>
      <c r="AP99" s="15">
        <v>6000</v>
      </c>
      <c r="AQ99" s="2">
        <f t="shared" si="199"/>
        <v>300000</v>
      </c>
      <c r="AR99" s="15" t="s">
        <v>1707</v>
      </c>
      <c r="AS99" s="15" t="s">
        <v>1708</v>
      </c>
      <c r="AT99" s="2" t="s">
        <v>139</v>
      </c>
      <c r="AU99" s="36"/>
      <c r="AV99" s="3">
        <v>6000</v>
      </c>
      <c r="AW99" s="2">
        <f>AU99*AV99</f>
        <v>0</v>
      </c>
      <c r="AX99" s="3" t="s">
        <v>139</v>
      </c>
      <c r="AY99" s="13"/>
      <c r="AZ99" s="3">
        <v>6000</v>
      </c>
      <c r="BA99" s="3">
        <f>AY99*AZ99</f>
        <v>0</v>
      </c>
      <c r="BB99" s="3" t="s">
        <v>139</v>
      </c>
      <c r="BC99" s="34"/>
      <c r="BD99" s="3">
        <v>6000</v>
      </c>
      <c r="BE99" s="3">
        <f>BC99*BD99</f>
        <v>0</v>
      </c>
      <c r="BF99" s="3" t="s">
        <v>125</v>
      </c>
      <c r="BG99" s="3"/>
      <c r="BH99" s="3">
        <v>6000</v>
      </c>
      <c r="BI99" s="3">
        <f>BG99*BH99</f>
        <v>0</v>
      </c>
      <c r="BJ99" s="13" t="s">
        <v>20</v>
      </c>
      <c r="BK99" s="14"/>
      <c r="BL99" s="3">
        <v>1000</v>
      </c>
      <c r="BM99" s="3">
        <f t="shared" si="258"/>
        <v>0</v>
      </c>
      <c r="BN99" s="13" t="s">
        <v>20</v>
      </c>
      <c r="BO99" s="14"/>
      <c r="BP99" s="2">
        <v>3000</v>
      </c>
      <c r="BQ99" s="14"/>
      <c r="BR99" s="2" t="s">
        <v>126</v>
      </c>
      <c r="BS99" s="14"/>
      <c r="BT99" s="2">
        <f>6000</f>
        <v>6000</v>
      </c>
      <c r="BU99" s="3">
        <f>BS99*BT99</f>
        <v>0</v>
      </c>
      <c r="BV99" s="2" t="s">
        <v>126</v>
      </c>
      <c r="BW99" s="2"/>
      <c r="BX99" s="2">
        <v>6000</v>
      </c>
      <c r="BY99" s="3">
        <f>BW99*BX99</f>
        <v>0</v>
      </c>
      <c r="BZ99" s="69">
        <f>AW99+BE99+BM99+BQ99+BU99+BI99+BY99</f>
        <v>0</v>
      </c>
      <c r="CA99" s="2" t="s">
        <v>139</v>
      </c>
      <c r="CB99" s="3">
        <v>5</v>
      </c>
      <c r="CC99" s="3">
        <v>8000</v>
      </c>
      <c r="CD99" s="3">
        <f t="shared" si="200"/>
        <v>40000</v>
      </c>
      <c r="CE99" s="2" t="s">
        <v>139</v>
      </c>
      <c r="CF99" s="2">
        <v>30</v>
      </c>
      <c r="CG99" s="2">
        <v>6000</v>
      </c>
      <c r="CH99" s="3">
        <f t="shared" si="201"/>
        <v>180000</v>
      </c>
      <c r="CI99" s="3" t="s">
        <v>139</v>
      </c>
      <c r="CJ99" s="3">
        <v>1</v>
      </c>
      <c r="CK99" s="14"/>
      <c r="CL99" s="3">
        <f>CJ99*CK99</f>
        <v>0</v>
      </c>
      <c r="CM99" s="5">
        <f t="shared" si="327"/>
        <v>220000</v>
      </c>
      <c r="CN99" s="3" t="s">
        <v>125</v>
      </c>
      <c r="CO99" s="3">
        <v>0</v>
      </c>
      <c r="CP99" s="3">
        <v>6000</v>
      </c>
      <c r="CQ99" s="3">
        <f t="shared" si="336"/>
        <v>0</v>
      </c>
      <c r="CR99" s="3" t="s">
        <v>125</v>
      </c>
      <c r="CS99" s="3">
        <v>75</v>
      </c>
      <c r="CT99" s="3">
        <v>6000</v>
      </c>
      <c r="CU99" s="3">
        <f t="shared" si="337"/>
        <v>450000</v>
      </c>
      <c r="CV99" s="3" t="s">
        <v>125</v>
      </c>
      <c r="CW99" s="3">
        <v>30</v>
      </c>
      <c r="CX99" s="3">
        <v>6000</v>
      </c>
      <c r="CY99" s="3">
        <f t="shared" si="338"/>
        <v>180000</v>
      </c>
      <c r="CZ99" s="3" t="s">
        <v>125</v>
      </c>
      <c r="DA99" s="3">
        <v>15</v>
      </c>
      <c r="DB99" s="3">
        <v>6000</v>
      </c>
      <c r="DC99" s="3">
        <f t="shared" si="339"/>
        <v>90000</v>
      </c>
      <c r="DD99" s="3" t="s">
        <v>125</v>
      </c>
      <c r="DE99" s="3">
        <v>5</v>
      </c>
      <c r="DF99" s="3">
        <v>6000</v>
      </c>
      <c r="DG99" s="3">
        <f t="shared" si="340"/>
        <v>30000</v>
      </c>
      <c r="DH99" s="3" t="s">
        <v>125</v>
      </c>
      <c r="DI99" s="3">
        <v>50</v>
      </c>
      <c r="DJ99" s="3">
        <v>6000</v>
      </c>
      <c r="DK99" s="3">
        <f t="shared" si="341"/>
        <v>300000</v>
      </c>
      <c r="DL99" s="3" t="s">
        <v>125</v>
      </c>
      <c r="DM99" s="3"/>
      <c r="DN99" s="3">
        <v>6000</v>
      </c>
      <c r="DO99" s="3">
        <f t="shared" si="342"/>
        <v>0</v>
      </c>
      <c r="DP99" s="3" t="s">
        <v>125</v>
      </c>
      <c r="DQ99" s="3"/>
      <c r="DR99" s="3">
        <v>6000</v>
      </c>
      <c r="DS99" s="3">
        <f t="shared" si="343"/>
        <v>0</v>
      </c>
      <c r="DT99" s="6">
        <f t="shared" si="344"/>
        <v>1050000</v>
      </c>
      <c r="DU99" s="2" t="s">
        <v>157</v>
      </c>
      <c r="DV99" s="3">
        <f>R99</f>
        <v>625</v>
      </c>
      <c r="DW99" s="3">
        <f>T99</f>
        <v>2500</v>
      </c>
      <c r="DX99" s="3">
        <f t="shared" si="328"/>
        <v>1562500</v>
      </c>
      <c r="DY99" s="3" t="s">
        <v>127</v>
      </c>
      <c r="DZ99" s="3">
        <f>AD99</f>
        <v>3</v>
      </c>
      <c r="EA99" s="2">
        <v>50000</v>
      </c>
      <c r="EB99" s="3">
        <f>DZ99*EA99</f>
        <v>150000</v>
      </c>
      <c r="EC99" s="2" t="s">
        <v>127</v>
      </c>
      <c r="ED99" s="3">
        <f>AE99</f>
        <v>0</v>
      </c>
      <c r="EE99" s="3">
        <v>80000</v>
      </c>
      <c r="EF99" s="3">
        <f>ED99*EE99</f>
        <v>0</v>
      </c>
      <c r="EG99" s="2" t="s">
        <v>157</v>
      </c>
      <c r="EH99" s="3">
        <f>AK99</f>
        <v>50</v>
      </c>
      <c r="EI99" s="3">
        <v>6000</v>
      </c>
      <c r="EJ99" s="7">
        <f>EH99*EI99</f>
        <v>300000</v>
      </c>
      <c r="EK99" s="2" t="s">
        <v>157</v>
      </c>
      <c r="EL99" s="13">
        <f>AM99</f>
        <v>0</v>
      </c>
      <c r="EM99" s="3">
        <v>3000</v>
      </c>
      <c r="EN99" s="3">
        <f>EL99*EM99</f>
        <v>0</v>
      </c>
      <c r="EO99" s="3" t="s">
        <v>126</v>
      </c>
      <c r="EP99" s="3">
        <f>AI99</f>
        <v>0</v>
      </c>
      <c r="EQ99" s="3">
        <v>1000</v>
      </c>
      <c r="ER99" s="7">
        <f>EP99*EQ99</f>
        <v>0</v>
      </c>
      <c r="ES99" s="3" t="s">
        <v>124</v>
      </c>
      <c r="ET99" s="3">
        <v>1</v>
      </c>
      <c r="EU99" s="3">
        <v>60000</v>
      </c>
      <c r="EV99" s="3">
        <f>ET99*EU99</f>
        <v>60000</v>
      </c>
      <c r="EW99" s="3" t="s">
        <v>124</v>
      </c>
      <c r="EX99" s="14"/>
      <c r="EY99" s="3">
        <v>60000</v>
      </c>
      <c r="EZ99" s="3">
        <f>EX99*EY99</f>
        <v>0</v>
      </c>
      <c r="FA99" s="3" t="s">
        <v>170</v>
      </c>
      <c r="FB99" s="14"/>
      <c r="FC99" s="3">
        <v>1000</v>
      </c>
      <c r="FD99" s="3">
        <f>FB99*FC99</f>
        <v>0</v>
      </c>
      <c r="FE99" s="3" t="s">
        <v>126</v>
      </c>
      <c r="FF99" s="3">
        <f>AO99</f>
        <v>0</v>
      </c>
      <c r="FG99" s="3">
        <v>6000</v>
      </c>
      <c r="FH99" s="3">
        <f>FF99*FG99</f>
        <v>0</v>
      </c>
      <c r="FI99" s="1">
        <f>DX99+EB99+EF99+EJ99+EN99+ER99+EZ99+EV99+FD99+FH99</f>
        <v>2072500</v>
      </c>
      <c r="FJ99" s="3" t="s">
        <v>139</v>
      </c>
      <c r="FK99" s="2">
        <v>40</v>
      </c>
      <c r="FL99" s="2">
        <v>6000</v>
      </c>
      <c r="FM99" s="3">
        <f>FK99*FL99</f>
        <v>240000</v>
      </c>
      <c r="FN99" s="3" t="s">
        <v>139</v>
      </c>
      <c r="FO99" s="2"/>
      <c r="FP99" s="3">
        <v>6000</v>
      </c>
      <c r="FQ99" s="3">
        <f>FO99*FP99</f>
        <v>0</v>
      </c>
      <c r="FR99" s="3" t="s">
        <v>139</v>
      </c>
      <c r="FS99" s="13"/>
      <c r="FT99" s="15">
        <v>6000</v>
      </c>
      <c r="FU99" s="3">
        <f>FS99*FT99</f>
        <v>0</v>
      </c>
      <c r="FV99" s="3" t="s">
        <v>139</v>
      </c>
      <c r="FW99" s="14"/>
      <c r="FX99" s="3">
        <v>8000</v>
      </c>
      <c r="FY99" s="3">
        <f>FW99*FX99</f>
        <v>0</v>
      </c>
      <c r="FZ99" s="3" t="s">
        <v>139</v>
      </c>
      <c r="GA99" s="3">
        <v>2</v>
      </c>
      <c r="GB99" s="3">
        <v>8000</v>
      </c>
      <c r="GC99" s="3">
        <f>GA99*GB99</f>
        <v>16000</v>
      </c>
      <c r="GD99" s="3" t="s">
        <v>139</v>
      </c>
      <c r="GE99" s="3">
        <v>10</v>
      </c>
      <c r="GF99" s="3">
        <v>10000</v>
      </c>
      <c r="GG99" s="3">
        <f>GE99*GF99</f>
        <v>100000</v>
      </c>
      <c r="GH99" s="3" t="s">
        <v>139</v>
      </c>
      <c r="GI99" s="14"/>
      <c r="GJ99" s="14"/>
      <c r="GK99" s="3">
        <f>GI99*GJ99</f>
        <v>0</v>
      </c>
      <c r="GL99" s="92">
        <f>FM99+FQ99+FU99+FY99+GC99+GG99+GK99</f>
        <v>356000</v>
      </c>
      <c r="GM99" s="8">
        <f>BZ99+CM99+DT99+FI99+GL99</f>
        <v>3698500</v>
      </c>
      <c r="GN99" s="8">
        <f>X99*1000</f>
        <v>5000</v>
      </c>
      <c r="GO99" s="102">
        <v>1000</v>
      </c>
      <c r="GP99" s="8">
        <f>GN99*GO99</f>
        <v>5000000</v>
      </c>
      <c r="GQ99" s="8">
        <f>(GO99*Y99*1000)</f>
        <v>10000000</v>
      </c>
      <c r="GR99" s="8">
        <f>GP99-GM99</f>
        <v>1301500</v>
      </c>
      <c r="GS99" s="8">
        <f>GQ99-GM99</f>
        <v>6301500</v>
      </c>
      <c r="GT99" s="15" t="s">
        <v>1847</v>
      </c>
      <c r="GU99" s="47" t="s">
        <v>1709</v>
      </c>
    </row>
    <row r="100" spans="1:203" s="65" customFormat="1" ht="251.25" customHeight="1">
      <c r="A100" s="63">
        <v>101</v>
      </c>
      <c r="B100" s="18" t="s">
        <v>1913</v>
      </c>
      <c r="C100" s="15" t="s">
        <v>1914</v>
      </c>
      <c r="D100" s="15" t="s">
        <v>1911</v>
      </c>
      <c r="E100" s="15" t="s">
        <v>1915</v>
      </c>
      <c r="F100" s="15" t="s">
        <v>1916</v>
      </c>
      <c r="G100" s="15" t="s">
        <v>1917</v>
      </c>
      <c r="H100" s="15" t="s">
        <v>88</v>
      </c>
      <c r="I100" s="15" t="s">
        <v>1918</v>
      </c>
      <c r="J100" s="15" t="s">
        <v>1919</v>
      </c>
      <c r="K100" s="15" t="s">
        <v>1920</v>
      </c>
      <c r="L100" s="15" t="s">
        <v>1921</v>
      </c>
      <c r="M100" s="15" t="s">
        <v>1922</v>
      </c>
      <c r="N100" s="15" t="s">
        <v>1923</v>
      </c>
      <c r="O100" s="15" t="s">
        <v>1924</v>
      </c>
      <c r="P100" s="15" t="s">
        <v>1925</v>
      </c>
      <c r="Q100" s="15" t="s">
        <v>1128</v>
      </c>
      <c r="R100" s="15">
        <v>80</v>
      </c>
      <c r="S100" s="15">
        <v>120</v>
      </c>
      <c r="T100" s="15">
        <v>7000</v>
      </c>
      <c r="U100" s="15">
        <v>110</v>
      </c>
      <c r="V100" s="15">
        <v>130</v>
      </c>
      <c r="W100" s="15" t="s">
        <v>1926</v>
      </c>
      <c r="X100" s="15">
        <v>1.2</v>
      </c>
      <c r="Y100" s="15">
        <v>3.5</v>
      </c>
      <c r="Z100" s="15" t="s">
        <v>1927</v>
      </c>
      <c r="AA100" s="15" t="s">
        <v>1928</v>
      </c>
      <c r="AB100" s="15" t="s">
        <v>1929</v>
      </c>
      <c r="AC100" s="3">
        <v>50000</v>
      </c>
      <c r="AD100" s="15">
        <v>5</v>
      </c>
      <c r="AE100" s="15"/>
      <c r="AF100" s="3">
        <v>80000</v>
      </c>
      <c r="AG100" s="3">
        <f t="shared" si="211"/>
        <v>250000</v>
      </c>
      <c r="AH100" s="15" t="s">
        <v>1930</v>
      </c>
      <c r="AI100" s="15">
        <v>1000</v>
      </c>
      <c r="AJ100" s="15">
        <v>1000</v>
      </c>
      <c r="AK100" s="56">
        <v>75</v>
      </c>
      <c r="AL100" s="15">
        <v>6000</v>
      </c>
      <c r="AM100" s="15"/>
      <c r="AN100" s="15">
        <v>3000</v>
      </c>
      <c r="AO100" s="19">
        <v>20</v>
      </c>
      <c r="AP100" s="15">
        <v>6000</v>
      </c>
      <c r="AQ100" s="2">
        <f t="shared" si="199"/>
        <v>1570000</v>
      </c>
      <c r="AR100" s="15" t="s">
        <v>1931</v>
      </c>
      <c r="AS100" s="15" t="s">
        <v>1932</v>
      </c>
      <c r="AT100" s="2" t="s">
        <v>139</v>
      </c>
      <c r="AU100" s="40"/>
      <c r="AV100" s="3">
        <v>6000</v>
      </c>
      <c r="AW100" s="2">
        <f t="shared" ref="AW100:AW104" si="345">AU100*AV100</f>
        <v>0</v>
      </c>
      <c r="AX100" s="3" t="s">
        <v>139</v>
      </c>
      <c r="AY100" s="15"/>
      <c r="AZ100" s="3">
        <v>6000</v>
      </c>
      <c r="BA100" s="3">
        <f t="shared" ref="BA100:BA104" si="346">AY100*AZ100</f>
        <v>0</v>
      </c>
      <c r="BB100" s="3" t="s">
        <v>139</v>
      </c>
      <c r="BC100" s="35"/>
      <c r="BD100" s="3">
        <v>6000</v>
      </c>
      <c r="BE100" s="3">
        <f t="shared" ref="BE100:BE104" si="347">BC100*BD100</f>
        <v>0</v>
      </c>
      <c r="BF100" s="3" t="s">
        <v>125</v>
      </c>
      <c r="BG100" s="3"/>
      <c r="BH100" s="3">
        <v>6000</v>
      </c>
      <c r="BI100" s="3">
        <f t="shared" ref="BI100:BI104" si="348">BG100*BH100</f>
        <v>0</v>
      </c>
      <c r="BJ100" s="13" t="s">
        <v>20</v>
      </c>
      <c r="BK100" s="15"/>
      <c r="BL100" s="3">
        <v>1000</v>
      </c>
      <c r="BM100" s="3">
        <f t="shared" si="258"/>
        <v>0</v>
      </c>
      <c r="BN100" s="13" t="s">
        <v>20</v>
      </c>
      <c r="BO100" s="15"/>
      <c r="BP100" s="2">
        <v>3000</v>
      </c>
      <c r="BQ100" s="15"/>
      <c r="BR100" s="2" t="s">
        <v>126</v>
      </c>
      <c r="BS100" s="15"/>
      <c r="BT100" s="2">
        <f>6000</f>
        <v>6000</v>
      </c>
      <c r="BU100" s="3">
        <f t="shared" ref="BU100:BU104" si="349">BS100*BT100</f>
        <v>0</v>
      </c>
      <c r="BV100" s="2" t="s">
        <v>126</v>
      </c>
      <c r="BW100" s="3"/>
      <c r="BX100" s="2">
        <v>6000</v>
      </c>
      <c r="BY100" s="3">
        <f t="shared" ref="BY100:BY104" si="350">BW100*BX100</f>
        <v>0</v>
      </c>
      <c r="BZ100" s="69">
        <f t="shared" ref="BZ100:BZ104" si="351">AW100+BE100+BM100+BQ100+BU100+BI100+BY100</f>
        <v>0</v>
      </c>
      <c r="CA100" s="2" t="s">
        <v>139</v>
      </c>
      <c r="CB100" s="3">
        <v>5</v>
      </c>
      <c r="CC100" s="3">
        <v>8000</v>
      </c>
      <c r="CD100" s="3">
        <f t="shared" si="200"/>
        <v>40000</v>
      </c>
      <c r="CE100" s="2" t="s">
        <v>139</v>
      </c>
      <c r="CF100" s="2">
        <v>30</v>
      </c>
      <c r="CG100" s="2">
        <v>6000</v>
      </c>
      <c r="CH100" s="3">
        <f t="shared" si="201"/>
        <v>180000</v>
      </c>
      <c r="CI100" s="3" t="s">
        <v>139</v>
      </c>
      <c r="CJ100" s="3">
        <v>1</v>
      </c>
      <c r="CK100" s="14"/>
      <c r="CL100" s="3">
        <f t="shared" ref="CL100:CL103" si="352">CJ100*CK100</f>
        <v>0</v>
      </c>
      <c r="CM100" s="5">
        <f t="shared" si="327"/>
        <v>220000</v>
      </c>
      <c r="CN100" s="3" t="s">
        <v>125</v>
      </c>
      <c r="CO100" s="3">
        <v>0</v>
      </c>
      <c r="CP100" s="3">
        <v>6000</v>
      </c>
      <c r="CQ100" s="3">
        <f t="shared" si="336"/>
        <v>0</v>
      </c>
      <c r="CR100" s="3" t="s">
        <v>125</v>
      </c>
      <c r="CS100" s="3">
        <v>75</v>
      </c>
      <c r="CT100" s="3">
        <v>6000</v>
      </c>
      <c r="CU100" s="3">
        <f t="shared" si="337"/>
        <v>450000</v>
      </c>
      <c r="CV100" s="3" t="s">
        <v>125</v>
      </c>
      <c r="CW100" s="3">
        <v>30</v>
      </c>
      <c r="CX100" s="3">
        <v>6000</v>
      </c>
      <c r="CY100" s="3">
        <f t="shared" si="338"/>
        <v>180000</v>
      </c>
      <c r="CZ100" s="3" t="s">
        <v>125</v>
      </c>
      <c r="DA100" s="3">
        <v>15</v>
      </c>
      <c r="DB100" s="3">
        <v>6000</v>
      </c>
      <c r="DC100" s="3">
        <f t="shared" si="339"/>
        <v>90000</v>
      </c>
      <c r="DD100" s="3" t="s">
        <v>125</v>
      </c>
      <c r="DE100" s="3">
        <v>5</v>
      </c>
      <c r="DF100" s="3">
        <v>6000</v>
      </c>
      <c r="DG100" s="3">
        <f t="shared" si="340"/>
        <v>30000</v>
      </c>
      <c r="DH100" s="3" t="s">
        <v>125</v>
      </c>
      <c r="DI100" s="3">
        <v>100</v>
      </c>
      <c r="DJ100" s="3">
        <v>6000</v>
      </c>
      <c r="DK100" s="3">
        <f t="shared" si="341"/>
        <v>600000</v>
      </c>
      <c r="DL100" s="3" t="s">
        <v>125</v>
      </c>
      <c r="DM100" s="3"/>
      <c r="DN100" s="3">
        <v>6000</v>
      </c>
      <c r="DO100" s="3">
        <f t="shared" si="342"/>
        <v>0</v>
      </c>
      <c r="DP100" s="3" t="s">
        <v>125</v>
      </c>
      <c r="DQ100" s="3"/>
      <c r="DR100" s="3">
        <v>6000</v>
      </c>
      <c r="DS100" s="3">
        <f t="shared" si="343"/>
        <v>0</v>
      </c>
      <c r="DT100" s="6">
        <f t="shared" si="344"/>
        <v>1350000</v>
      </c>
      <c r="DU100" s="2" t="s">
        <v>157</v>
      </c>
      <c r="DV100" s="3">
        <f>R100</f>
        <v>80</v>
      </c>
      <c r="DW100" s="3">
        <f>T100</f>
        <v>7000</v>
      </c>
      <c r="DX100" s="3">
        <f t="shared" si="328"/>
        <v>560000</v>
      </c>
      <c r="DY100" s="3" t="s">
        <v>127</v>
      </c>
      <c r="DZ100" s="3">
        <f t="shared" ref="DZ100:DZ104" si="353">AD100</f>
        <v>5</v>
      </c>
      <c r="EA100" s="2">
        <v>50000</v>
      </c>
      <c r="EB100" s="3">
        <f t="shared" ref="EB100:EB104" si="354">DZ100*EA100</f>
        <v>250000</v>
      </c>
      <c r="EC100" s="2" t="s">
        <v>127</v>
      </c>
      <c r="ED100" s="3">
        <f t="shared" ref="ED100:ED104" si="355">AE100</f>
        <v>0</v>
      </c>
      <c r="EE100" s="3">
        <v>80000</v>
      </c>
      <c r="EF100" s="3">
        <f t="shared" ref="EF100:EF104" si="356">ED100*EE100</f>
        <v>0</v>
      </c>
      <c r="EG100" s="2" t="s">
        <v>157</v>
      </c>
      <c r="EH100" s="3"/>
      <c r="EI100" s="3">
        <v>6000</v>
      </c>
      <c r="EJ100" s="7">
        <f t="shared" ref="EJ100:EJ104" si="357">EH100*EI100</f>
        <v>0</v>
      </c>
      <c r="EK100" s="2" t="s">
        <v>157</v>
      </c>
      <c r="EL100" s="15"/>
      <c r="EM100" s="3">
        <v>3000</v>
      </c>
      <c r="EN100" s="3">
        <f t="shared" ref="EN100:EN104" si="358">EL100*EM100</f>
        <v>0</v>
      </c>
      <c r="EO100" s="3" t="s">
        <v>126</v>
      </c>
      <c r="EP100" s="3">
        <f t="shared" ref="EP100:EP104" si="359">AI100</f>
        <v>1000</v>
      </c>
      <c r="EQ100" s="3">
        <v>1000</v>
      </c>
      <c r="ER100" s="7">
        <f t="shared" ref="ER100:ER104" si="360">EP100*EQ100</f>
        <v>1000000</v>
      </c>
      <c r="ES100" s="3" t="s">
        <v>124</v>
      </c>
      <c r="ET100" s="3">
        <v>1</v>
      </c>
      <c r="EU100" s="3">
        <v>60000</v>
      </c>
      <c r="EV100" s="3">
        <f t="shared" ref="EV100:EV104" si="361">ET100*EU100</f>
        <v>60000</v>
      </c>
      <c r="EW100" s="3" t="s">
        <v>124</v>
      </c>
      <c r="EX100" s="15"/>
      <c r="EY100" s="3">
        <v>60000</v>
      </c>
      <c r="EZ100" s="3"/>
      <c r="FA100" s="3" t="s">
        <v>170</v>
      </c>
      <c r="FB100" s="15"/>
      <c r="FC100" s="3">
        <v>1000</v>
      </c>
      <c r="FD100" s="3">
        <f t="shared" ref="FD100:FD104" si="362">FB100*FC100</f>
        <v>0</v>
      </c>
      <c r="FE100" s="3" t="s">
        <v>126</v>
      </c>
      <c r="FF100" s="3"/>
      <c r="FG100" s="3">
        <v>6000</v>
      </c>
      <c r="FH100" s="3">
        <f t="shared" ref="FH100:FH104" si="363">FF100*FG100</f>
        <v>0</v>
      </c>
      <c r="FI100" s="1">
        <f t="shared" ref="FI100:FI104" si="364">DX100+EB100+EF100+EJ100+EN100+ER100+EZ100+EV100+FD100+FH100</f>
        <v>1870000</v>
      </c>
      <c r="FJ100" s="3" t="s">
        <v>139</v>
      </c>
      <c r="FK100" s="2">
        <v>40</v>
      </c>
      <c r="FL100" s="3">
        <v>6000</v>
      </c>
      <c r="FM100" s="3">
        <f t="shared" ref="FM100:FM104" si="365">FK100*FL100</f>
        <v>240000</v>
      </c>
      <c r="FN100" s="3" t="s">
        <v>139</v>
      </c>
      <c r="FO100" s="3"/>
      <c r="FP100" s="3">
        <v>6000</v>
      </c>
      <c r="FQ100" s="3">
        <f t="shared" ref="FQ100:FQ104" si="366">FO100*FP100</f>
        <v>0</v>
      </c>
      <c r="FR100" s="3" t="s">
        <v>139</v>
      </c>
      <c r="FS100" s="15"/>
      <c r="FT100" s="15">
        <v>6000</v>
      </c>
      <c r="FU100" s="3">
        <f t="shared" ref="FU100:FU104" si="367">FS100*FT100</f>
        <v>0</v>
      </c>
      <c r="FV100" s="3" t="s">
        <v>139</v>
      </c>
      <c r="FW100" s="15"/>
      <c r="FX100" s="3">
        <v>8000</v>
      </c>
      <c r="FY100" s="3">
        <f t="shared" ref="FY100:FY104" si="368">FW100*FX100</f>
        <v>0</v>
      </c>
      <c r="FZ100" s="3" t="s">
        <v>139</v>
      </c>
      <c r="GA100" s="3">
        <v>2</v>
      </c>
      <c r="GB100" s="3">
        <v>8000</v>
      </c>
      <c r="GC100" s="3">
        <f t="shared" ref="GC100:GC104" si="369">GA100*GB100</f>
        <v>16000</v>
      </c>
      <c r="GD100" s="3" t="s">
        <v>139</v>
      </c>
      <c r="GE100" s="3">
        <v>10</v>
      </c>
      <c r="GF100" s="3">
        <v>10000</v>
      </c>
      <c r="GG100" s="3">
        <f t="shared" ref="GG100:GG104" si="370">GE100*GF100</f>
        <v>100000</v>
      </c>
      <c r="GH100" s="3" t="s">
        <v>139</v>
      </c>
      <c r="GI100" s="15"/>
      <c r="GJ100" s="15"/>
      <c r="GK100" s="3">
        <f t="shared" ref="GK100:GK104" si="371">GI100*GJ100</f>
        <v>0</v>
      </c>
      <c r="GL100" s="63">
        <f t="shared" ref="GL100:GL104" si="372">FM100+FQ100+FU100+FY100+GC100+GG100+GK100</f>
        <v>356000</v>
      </c>
      <c r="GM100" s="8">
        <f t="shared" ref="GM100:GM104" si="373">BZ100+CM100+DT100+FI100+GL100</f>
        <v>3796000</v>
      </c>
      <c r="GN100" s="8">
        <f t="shared" ref="GN100:GN104" si="374">X100*1000</f>
        <v>1200</v>
      </c>
      <c r="GO100" s="102">
        <v>6000</v>
      </c>
      <c r="GP100" s="8">
        <f t="shared" ref="GP100:GP104" si="375">GN100*GO100</f>
        <v>7200000</v>
      </c>
      <c r="GQ100" s="8">
        <f t="shared" ref="GQ100:GQ104" si="376">(GO100*Y100*1000)</f>
        <v>21000000</v>
      </c>
      <c r="GR100" s="8">
        <f t="shared" ref="GR100:GR104" si="377">GP100-GM100</f>
        <v>3404000</v>
      </c>
      <c r="GS100" s="8">
        <f t="shared" ref="GS100:GS104" si="378">GQ100-GM100</f>
        <v>17204000</v>
      </c>
      <c r="GT100" s="15" t="s">
        <v>2026</v>
      </c>
      <c r="GU100" s="15" t="s">
        <v>1933</v>
      </c>
    </row>
    <row r="101" spans="1:203" s="65" customFormat="1" ht="251.25" customHeight="1">
      <c r="A101" s="63">
        <v>102</v>
      </c>
      <c r="B101" s="18" t="s">
        <v>1913</v>
      </c>
      <c r="C101" s="15" t="s">
        <v>1914</v>
      </c>
      <c r="D101" s="15" t="s">
        <v>1912</v>
      </c>
      <c r="E101" s="15" t="s">
        <v>1915</v>
      </c>
      <c r="F101" s="15" t="s">
        <v>1934</v>
      </c>
      <c r="G101" s="15" t="s">
        <v>1935</v>
      </c>
      <c r="H101" s="15" t="s">
        <v>88</v>
      </c>
      <c r="I101" s="15" t="s">
        <v>1918</v>
      </c>
      <c r="J101" s="15" t="s">
        <v>1936</v>
      </c>
      <c r="K101" s="15" t="s">
        <v>1937</v>
      </c>
      <c r="L101" s="15" t="s">
        <v>1938</v>
      </c>
      <c r="M101" s="15" t="s">
        <v>1939</v>
      </c>
      <c r="N101" s="15" t="s">
        <v>1940</v>
      </c>
      <c r="O101" s="15" t="s">
        <v>1924</v>
      </c>
      <c r="P101" s="15" t="s">
        <v>1941</v>
      </c>
      <c r="Q101" s="15" t="s">
        <v>1128</v>
      </c>
      <c r="R101" s="15">
        <v>80</v>
      </c>
      <c r="S101" s="15">
        <v>120</v>
      </c>
      <c r="T101" s="15">
        <v>7000</v>
      </c>
      <c r="U101" s="15">
        <v>90</v>
      </c>
      <c r="V101" s="15">
        <v>110</v>
      </c>
      <c r="W101" s="15" t="s">
        <v>1926</v>
      </c>
      <c r="X101" s="15">
        <v>1</v>
      </c>
      <c r="Y101" s="15">
        <v>3</v>
      </c>
      <c r="Z101" s="15" t="s">
        <v>1942</v>
      </c>
      <c r="AA101" s="15" t="s">
        <v>1943</v>
      </c>
      <c r="AB101" s="15" t="s">
        <v>1929</v>
      </c>
      <c r="AC101" s="3">
        <v>50000</v>
      </c>
      <c r="AD101" s="15"/>
      <c r="AE101" s="15"/>
      <c r="AF101" s="3">
        <v>80000</v>
      </c>
      <c r="AG101" s="3">
        <f t="shared" si="211"/>
        <v>0</v>
      </c>
      <c r="AH101" s="15" t="s">
        <v>1930</v>
      </c>
      <c r="AI101" s="15">
        <v>1000</v>
      </c>
      <c r="AJ101" s="15">
        <v>1000</v>
      </c>
      <c r="AK101" s="55">
        <v>75</v>
      </c>
      <c r="AL101" s="15">
        <v>6000</v>
      </c>
      <c r="AM101" s="15"/>
      <c r="AN101" s="15">
        <v>3000</v>
      </c>
      <c r="AO101" s="19">
        <v>20</v>
      </c>
      <c r="AP101" s="15">
        <v>6000</v>
      </c>
      <c r="AQ101" s="3">
        <f t="shared" si="199"/>
        <v>1570000</v>
      </c>
      <c r="AR101" s="15" t="s">
        <v>1944</v>
      </c>
      <c r="AS101" s="15" t="s">
        <v>1945</v>
      </c>
      <c r="AT101" s="3" t="s">
        <v>139</v>
      </c>
      <c r="AU101" s="40"/>
      <c r="AV101" s="3">
        <v>6000</v>
      </c>
      <c r="AW101" s="3">
        <f t="shared" si="345"/>
        <v>0</v>
      </c>
      <c r="AX101" s="3" t="s">
        <v>139</v>
      </c>
      <c r="AY101" s="15"/>
      <c r="AZ101" s="3">
        <v>6000</v>
      </c>
      <c r="BA101" s="3">
        <f t="shared" si="346"/>
        <v>0</v>
      </c>
      <c r="BB101" s="3" t="s">
        <v>139</v>
      </c>
      <c r="BC101" s="35"/>
      <c r="BD101" s="3">
        <v>6000</v>
      </c>
      <c r="BE101" s="3">
        <f t="shared" si="347"/>
        <v>0</v>
      </c>
      <c r="BF101" s="3" t="s">
        <v>125</v>
      </c>
      <c r="BG101" s="3"/>
      <c r="BH101" s="3">
        <v>6000</v>
      </c>
      <c r="BI101" s="3">
        <f t="shared" si="348"/>
        <v>0</v>
      </c>
      <c r="BJ101" s="15" t="s">
        <v>20</v>
      </c>
      <c r="BK101" s="15"/>
      <c r="BL101" s="3">
        <v>1000</v>
      </c>
      <c r="BM101" s="3">
        <f t="shared" si="258"/>
        <v>0</v>
      </c>
      <c r="BN101" s="15" t="s">
        <v>20</v>
      </c>
      <c r="BO101" s="15"/>
      <c r="BP101" s="3">
        <v>3000</v>
      </c>
      <c r="BQ101" s="15"/>
      <c r="BR101" s="3" t="s">
        <v>126</v>
      </c>
      <c r="BS101" s="15"/>
      <c r="BT101" s="3">
        <f>6000</f>
        <v>6000</v>
      </c>
      <c r="BU101" s="3">
        <f t="shared" si="349"/>
        <v>0</v>
      </c>
      <c r="BV101" s="3" t="s">
        <v>126</v>
      </c>
      <c r="BW101" s="3"/>
      <c r="BX101" s="3">
        <v>6000</v>
      </c>
      <c r="BY101" s="3">
        <f t="shared" si="350"/>
        <v>0</v>
      </c>
      <c r="BZ101" s="93">
        <f t="shared" si="351"/>
        <v>0</v>
      </c>
      <c r="CA101" s="3" t="s">
        <v>139</v>
      </c>
      <c r="CB101" s="3">
        <v>5</v>
      </c>
      <c r="CC101" s="3">
        <v>8000</v>
      </c>
      <c r="CD101" s="3">
        <f t="shared" si="200"/>
        <v>40000</v>
      </c>
      <c r="CE101" s="2" t="s">
        <v>139</v>
      </c>
      <c r="CF101" s="2">
        <v>30</v>
      </c>
      <c r="CG101" s="2">
        <v>6000</v>
      </c>
      <c r="CH101" s="3">
        <f t="shared" si="201"/>
        <v>180000</v>
      </c>
      <c r="CI101" s="3" t="s">
        <v>139</v>
      </c>
      <c r="CJ101" s="3">
        <v>1</v>
      </c>
      <c r="CK101" s="14"/>
      <c r="CL101" s="3">
        <f t="shared" si="352"/>
        <v>0</v>
      </c>
      <c r="CM101" s="5">
        <f t="shared" si="327"/>
        <v>220000</v>
      </c>
      <c r="CN101" s="3" t="s">
        <v>125</v>
      </c>
      <c r="CO101" s="3">
        <v>0</v>
      </c>
      <c r="CP101" s="3">
        <v>6000</v>
      </c>
      <c r="CQ101" s="3">
        <f t="shared" si="336"/>
        <v>0</v>
      </c>
      <c r="CR101" s="3" t="s">
        <v>125</v>
      </c>
      <c r="CS101" s="3">
        <v>75</v>
      </c>
      <c r="CT101" s="3">
        <v>6000</v>
      </c>
      <c r="CU101" s="3">
        <f t="shared" si="337"/>
        <v>450000</v>
      </c>
      <c r="CV101" s="3" t="s">
        <v>125</v>
      </c>
      <c r="CW101" s="3">
        <v>30</v>
      </c>
      <c r="CX101" s="3">
        <v>6000</v>
      </c>
      <c r="CY101" s="3">
        <f t="shared" si="338"/>
        <v>180000</v>
      </c>
      <c r="CZ101" s="3" t="s">
        <v>125</v>
      </c>
      <c r="DA101" s="3">
        <v>15</v>
      </c>
      <c r="DB101" s="3">
        <v>6000</v>
      </c>
      <c r="DC101" s="3">
        <f t="shared" si="339"/>
        <v>90000</v>
      </c>
      <c r="DD101" s="3" t="s">
        <v>125</v>
      </c>
      <c r="DE101" s="3">
        <v>5</v>
      </c>
      <c r="DF101" s="3">
        <v>6000</v>
      </c>
      <c r="DG101" s="3">
        <f t="shared" si="340"/>
        <v>30000</v>
      </c>
      <c r="DH101" s="3" t="s">
        <v>125</v>
      </c>
      <c r="DI101" s="3">
        <v>100</v>
      </c>
      <c r="DJ101" s="3">
        <v>6000</v>
      </c>
      <c r="DK101" s="3">
        <f t="shared" si="341"/>
        <v>600000</v>
      </c>
      <c r="DL101" s="3" t="s">
        <v>125</v>
      </c>
      <c r="DM101" s="3"/>
      <c r="DN101" s="3">
        <v>6000</v>
      </c>
      <c r="DO101" s="3">
        <f t="shared" si="342"/>
        <v>0</v>
      </c>
      <c r="DP101" s="3" t="s">
        <v>125</v>
      </c>
      <c r="DQ101" s="3"/>
      <c r="DR101" s="3">
        <v>6000</v>
      </c>
      <c r="DS101" s="3">
        <f t="shared" si="343"/>
        <v>0</v>
      </c>
      <c r="DT101" s="6">
        <f t="shared" si="344"/>
        <v>1350000</v>
      </c>
      <c r="DU101" s="3" t="s">
        <v>157</v>
      </c>
      <c r="DV101" s="3"/>
      <c r="DW101" s="3"/>
      <c r="DX101" s="3"/>
      <c r="DY101" s="3" t="s">
        <v>127</v>
      </c>
      <c r="DZ101" s="3">
        <f t="shared" si="353"/>
        <v>0</v>
      </c>
      <c r="EA101" s="3">
        <v>50000</v>
      </c>
      <c r="EB101" s="3">
        <f t="shared" si="354"/>
        <v>0</v>
      </c>
      <c r="EC101" s="3" t="s">
        <v>127</v>
      </c>
      <c r="ED101" s="3">
        <f t="shared" si="355"/>
        <v>0</v>
      </c>
      <c r="EE101" s="3">
        <v>80000</v>
      </c>
      <c r="EF101" s="3">
        <f t="shared" si="356"/>
        <v>0</v>
      </c>
      <c r="EG101" s="3" t="s">
        <v>157</v>
      </c>
      <c r="EH101" s="3"/>
      <c r="EI101" s="3">
        <v>6000</v>
      </c>
      <c r="EJ101" s="7">
        <f t="shared" si="357"/>
        <v>0</v>
      </c>
      <c r="EK101" s="3" t="s">
        <v>157</v>
      </c>
      <c r="EL101" s="15"/>
      <c r="EM101" s="3">
        <v>3000</v>
      </c>
      <c r="EN101" s="3">
        <f t="shared" si="358"/>
        <v>0</v>
      </c>
      <c r="EO101" s="3" t="s">
        <v>126</v>
      </c>
      <c r="EP101" s="3">
        <f t="shared" si="359"/>
        <v>1000</v>
      </c>
      <c r="EQ101" s="3">
        <v>1000</v>
      </c>
      <c r="ER101" s="7">
        <f t="shared" si="360"/>
        <v>1000000</v>
      </c>
      <c r="ES101" s="3" t="s">
        <v>124</v>
      </c>
      <c r="ET101" s="3">
        <v>1</v>
      </c>
      <c r="EU101" s="3">
        <v>60000</v>
      </c>
      <c r="EV101" s="3">
        <f t="shared" si="361"/>
        <v>60000</v>
      </c>
      <c r="EW101" s="3" t="s">
        <v>124</v>
      </c>
      <c r="EX101" s="15"/>
      <c r="EY101" s="3">
        <v>60000</v>
      </c>
      <c r="EZ101" s="3"/>
      <c r="FA101" s="3" t="s">
        <v>170</v>
      </c>
      <c r="FB101" s="15"/>
      <c r="FC101" s="3">
        <v>1000</v>
      </c>
      <c r="FD101" s="3">
        <f t="shared" si="362"/>
        <v>0</v>
      </c>
      <c r="FE101" s="3" t="s">
        <v>126</v>
      </c>
      <c r="FF101" s="3"/>
      <c r="FG101" s="3">
        <v>6000</v>
      </c>
      <c r="FH101" s="3">
        <f t="shared" si="363"/>
        <v>0</v>
      </c>
      <c r="FI101" s="64">
        <f t="shared" si="364"/>
        <v>1060000</v>
      </c>
      <c r="FJ101" s="3" t="s">
        <v>139</v>
      </c>
      <c r="FK101" s="2">
        <v>40</v>
      </c>
      <c r="FL101" s="3">
        <v>6000</v>
      </c>
      <c r="FM101" s="3">
        <f t="shared" si="365"/>
        <v>240000</v>
      </c>
      <c r="FN101" s="3" t="s">
        <v>139</v>
      </c>
      <c r="FO101" s="3"/>
      <c r="FP101" s="3">
        <v>6000</v>
      </c>
      <c r="FQ101" s="3">
        <f t="shared" si="366"/>
        <v>0</v>
      </c>
      <c r="FR101" s="3" t="s">
        <v>139</v>
      </c>
      <c r="FS101" s="15"/>
      <c r="FT101" s="15">
        <v>6000</v>
      </c>
      <c r="FU101" s="3">
        <f t="shared" si="367"/>
        <v>0</v>
      </c>
      <c r="FV101" s="3" t="s">
        <v>139</v>
      </c>
      <c r="FW101" s="15"/>
      <c r="FX101" s="3">
        <v>8000</v>
      </c>
      <c r="FY101" s="3">
        <f t="shared" si="368"/>
        <v>0</v>
      </c>
      <c r="FZ101" s="3" t="s">
        <v>139</v>
      </c>
      <c r="GA101" s="3">
        <v>2</v>
      </c>
      <c r="GB101" s="3">
        <v>8000</v>
      </c>
      <c r="GC101" s="3">
        <f t="shared" si="369"/>
        <v>16000</v>
      </c>
      <c r="GD101" s="3" t="s">
        <v>139</v>
      </c>
      <c r="GE101" s="3">
        <v>10</v>
      </c>
      <c r="GF101" s="3">
        <v>10000</v>
      </c>
      <c r="GG101" s="3">
        <f t="shared" si="370"/>
        <v>100000</v>
      </c>
      <c r="GH101" s="3" t="s">
        <v>139</v>
      </c>
      <c r="GI101" s="15"/>
      <c r="GJ101" s="15"/>
      <c r="GK101" s="3">
        <f t="shared" si="371"/>
        <v>0</v>
      </c>
      <c r="GL101" s="63">
        <f t="shared" si="372"/>
        <v>356000</v>
      </c>
      <c r="GM101" s="8">
        <f t="shared" si="373"/>
        <v>2986000</v>
      </c>
      <c r="GN101" s="8">
        <f t="shared" si="374"/>
        <v>1000</v>
      </c>
      <c r="GO101" s="103">
        <v>6000</v>
      </c>
      <c r="GP101" s="8">
        <f t="shared" si="375"/>
        <v>6000000</v>
      </c>
      <c r="GQ101" s="8">
        <f t="shared" si="376"/>
        <v>18000000</v>
      </c>
      <c r="GR101" s="8">
        <f t="shared" si="377"/>
        <v>3014000</v>
      </c>
      <c r="GS101" s="8">
        <f t="shared" si="378"/>
        <v>15014000</v>
      </c>
      <c r="GT101" s="15" t="s">
        <v>2027</v>
      </c>
      <c r="GU101" s="15" t="s">
        <v>1946</v>
      </c>
    </row>
    <row r="102" spans="1:203" s="65" customFormat="1" ht="251.25" customHeight="1">
      <c r="A102" s="63">
        <v>103</v>
      </c>
      <c r="B102" s="18" t="s">
        <v>809</v>
      </c>
      <c r="C102" s="15" t="s">
        <v>1992</v>
      </c>
      <c r="D102" s="15" t="s">
        <v>1993</v>
      </c>
      <c r="E102" s="15" t="s">
        <v>1994</v>
      </c>
      <c r="F102" s="15" t="s">
        <v>1994</v>
      </c>
      <c r="G102" s="15" t="s">
        <v>1995</v>
      </c>
      <c r="H102" s="15" t="s">
        <v>88</v>
      </c>
      <c r="I102" s="15" t="s">
        <v>1996</v>
      </c>
      <c r="J102" s="15" t="s">
        <v>1997</v>
      </c>
      <c r="K102" s="15" t="s">
        <v>1998</v>
      </c>
      <c r="L102" s="15" t="s">
        <v>1999</v>
      </c>
      <c r="M102" s="15" t="s">
        <v>2000</v>
      </c>
      <c r="N102" s="15" t="s">
        <v>2001</v>
      </c>
      <c r="O102" s="15" t="s">
        <v>2002</v>
      </c>
      <c r="P102" s="15" t="s">
        <v>2003</v>
      </c>
      <c r="Q102" s="15" t="s">
        <v>1128</v>
      </c>
      <c r="R102" s="15">
        <v>2</v>
      </c>
      <c r="S102" s="15">
        <v>4</v>
      </c>
      <c r="T102" s="15">
        <v>20000</v>
      </c>
      <c r="U102" s="15">
        <v>90</v>
      </c>
      <c r="V102" s="15">
        <v>150</v>
      </c>
      <c r="W102" s="15" t="s">
        <v>2004</v>
      </c>
      <c r="X102" s="15">
        <v>10</v>
      </c>
      <c r="Y102" s="15">
        <v>20</v>
      </c>
      <c r="Z102" s="15" t="s">
        <v>2005</v>
      </c>
      <c r="AA102" s="15" t="s">
        <v>2006</v>
      </c>
      <c r="AB102" s="15" t="s">
        <v>2007</v>
      </c>
      <c r="AC102" s="3">
        <v>50000</v>
      </c>
      <c r="AD102" s="15">
        <v>15</v>
      </c>
      <c r="AE102" s="15"/>
      <c r="AF102" s="3">
        <v>80000</v>
      </c>
      <c r="AG102" s="3">
        <f t="shared" si="211"/>
        <v>750000</v>
      </c>
      <c r="AH102" s="15" t="s">
        <v>2008</v>
      </c>
      <c r="AI102" s="15">
        <v>200</v>
      </c>
      <c r="AJ102" s="15">
        <v>1000</v>
      </c>
      <c r="AK102" s="55">
        <v>250</v>
      </c>
      <c r="AL102" s="15">
        <v>6000</v>
      </c>
      <c r="AM102" s="15">
        <v>50</v>
      </c>
      <c r="AN102" s="15">
        <v>3000</v>
      </c>
      <c r="AO102" s="19"/>
      <c r="AP102" s="15">
        <v>6000</v>
      </c>
      <c r="AQ102" s="3">
        <f t="shared" si="199"/>
        <v>1850000</v>
      </c>
      <c r="AR102" s="15" t="s">
        <v>2009</v>
      </c>
      <c r="AS102" s="15" t="s">
        <v>2010</v>
      </c>
      <c r="AT102" s="3" t="s">
        <v>139</v>
      </c>
      <c r="AU102" s="40"/>
      <c r="AV102" s="3">
        <v>6000</v>
      </c>
      <c r="AW102" s="3">
        <f t="shared" si="345"/>
        <v>0</v>
      </c>
      <c r="AX102" s="3" t="s">
        <v>139</v>
      </c>
      <c r="AY102" s="15"/>
      <c r="AZ102" s="3">
        <v>6000</v>
      </c>
      <c r="BA102" s="3">
        <f t="shared" si="346"/>
        <v>0</v>
      </c>
      <c r="BB102" s="3" t="s">
        <v>139</v>
      </c>
      <c r="BC102" s="35"/>
      <c r="BD102" s="3">
        <v>6000</v>
      </c>
      <c r="BE102" s="3">
        <f t="shared" si="347"/>
        <v>0</v>
      </c>
      <c r="BF102" s="3" t="s">
        <v>125</v>
      </c>
      <c r="BG102" s="3"/>
      <c r="BH102" s="3">
        <v>6000</v>
      </c>
      <c r="BI102" s="3">
        <f t="shared" si="348"/>
        <v>0</v>
      </c>
      <c r="BJ102" s="15" t="s">
        <v>20</v>
      </c>
      <c r="BK102" s="15"/>
      <c r="BL102" s="3">
        <v>1000</v>
      </c>
      <c r="BM102" s="3">
        <f t="shared" si="258"/>
        <v>0</v>
      </c>
      <c r="BN102" s="15" t="s">
        <v>20</v>
      </c>
      <c r="BO102" s="15"/>
      <c r="BP102" s="3">
        <v>3000</v>
      </c>
      <c r="BQ102" s="15"/>
      <c r="BR102" s="3" t="s">
        <v>126</v>
      </c>
      <c r="BS102" s="15"/>
      <c r="BT102" s="3">
        <f>6000</f>
        <v>6000</v>
      </c>
      <c r="BU102" s="3">
        <f t="shared" si="349"/>
        <v>0</v>
      </c>
      <c r="BV102" s="3" t="s">
        <v>126</v>
      </c>
      <c r="BW102" s="3"/>
      <c r="BX102" s="3">
        <v>6000</v>
      </c>
      <c r="BY102" s="3">
        <f t="shared" si="350"/>
        <v>0</v>
      </c>
      <c r="BZ102" s="93">
        <f t="shared" si="351"/>
        <v>0</v>
      </c>
      <c r="CA102" s="3" t="s">
        <v>139</v>
      </c>
      <c r="CB102" s="3">
        <v>5</v>
      </c>
      <c r="CC102" s="3">
        <v>8000</v>
      </c>
      <c r="CD102" s="3">
        <f t="shared" si="200"/>
        <v>40000</v>
      </c>
      <c r="CE102" s="2" t="s">
        <v>139</v>
      </c>
      <c r="CF102" s="2">
        <v>30</v>
      </c>
      <c r="CG102" s="2">
        <v>6000</v>
      </c>
      <c r="CH102" s="3">
        <f t="shared" si="201"/>
        <v>180000</v>
      </c>
      <c r="CI102" s="3" t="s">
        <v>139</v>
      </c>
      <c r="CJ102" s="3">
        <v>1</v>
      </c>
      <c r="CK102" s="14"/>
      <c r="CL102" s="3">
        <f t="shared" si="352"/>
        <v>0</v>
      </c>
      <c r="CM102" s="5">
        <f t="shared" si="327"/>
        <v>220000</v>
      </c>
      <c r="CN102" s="3" t="s">
        <v>125</v>
      </c>
      <c r="CO102" s="3">
        <v>0</v>
      </c>
      <c r="CP102" s="3">
        <v>6000</v>
      </c>
      <c r="CQ102" s="3">
        <f t="shared" si="336"/>
        <v>0</v>
      </c>
      <c r="CR102" s="3" t="s">
        <v>125</v>
      </c>
      <c r="CS102" s="3">
        <v>75</v>
      </c>
      <c r="CT102" s="3">
        <v>6000</v>
      </c>
      <c r="CU102" s="3">
        <f t="shared" si="337"/>
        <v>450000</v>
      </c>
      <c r="CV102" s="3" t="s">
        <v>125</v>
      </c>
      <c r="CW102" s="3">
        <v>30</v>
      </c>
      <c r="CX102" s="3">
        <v>6000</v>
      </c>
      <c r="CY102" s="3">
        <f t="shared" si="338"/>
        <v>180000</v>
      </c>
      <c r="CZ102" s="3" t="s">
        <v>125</v>
      </c>
      <c r="DA102" s="3">
        <v>15</v>
      </c>
      <c r="DB102" s="3">
        <v>6000</v>
      </c>
      <c r="DC102" s="3">
        <f t="shared" si="339"/>
        <v>90000</v>
      </c>
      <c r="DD102" s="3" t="s">
        <v>125</v>
      </c>
      <c r="DE102" s="3">
        <v>5</v>
      </c>
      <c r="DF102" s="3">
        <v>6000</v>
      </c>
      <c r="DG102" s="3">
        <f t="shared" si="340"/>
        <v>30000</v>
      </c>
      <c r="DH102" s="3" t="s">
        <v>125</v>
      </c>
      <c r="DI102" s="3">
        <v>100</v>
      </c>
      <c r="DJ102" s="3">
        <v>6000</v>
      </c>
      <c r="DK102" s="3">
        <f t="shared" si="341"/>
        <v>600000</v>
      </c>
      <c r="DL102" s="3" t="s">
        <v>125</v>
      </c>
      <c r="DM102" s="3"/>
      <c r="DN102" s="3">
        <v>6000</v>
      </c>
      <c r="DO102" s="3">
        <f t="shared" si="342"/>
        <v>0</v>
      </c>
      <c r="DP102" s="3" t="s">
        <v>125</v>
      </c>
      <c r="DQ102" s="3"/>
      <c r="DR102" s="3">
        <v>6000</v>
      </c>
      <c r="DS102" s="3">
        <f t="shared" si="343"/>
        <v>0</v>
      </c>
      <c r="DT102" s="6">
        <f t="shared" si="344"/>
        <v>1350000</v>
      </c>
      <c r="DU102" s="3" t="s">
        <v>157</v>
      </c>
      <c r="DV102" s="3"/>
      <c r="DW102" s="3"/>
      <c r="DX102" s="3"/>
      <c r="DY102" s="3" t="s">
        <v>127</v>
      </c>
      <c r="DZ102" s="3">
        <f t="shared" si="353"/>
        <v>15</v>
      </c>
      <c r="EA102" s="3">
        <v>50000</v>
      </c>
      <c r="EB102" s="3">
        <f t="shared" si="354"/>
        <v>750000</v>
      </c>
      <c r="EC102" s="3" t="s">
        <v>127</v>
      </c>
      <c r="ED102" s="3">
        <f t="shared" si="355"/>
        <v>0</v>
      </c>
      <c r="EE102" s="3">
        <v>80000</v>
      </c>
      <c r="EF102" s="3">
        <f t="shared" si="356"/>
        <v>0</v>
      </c>
      <c r="EG102" s="3" t="s">
        <v>157</v>
      </c>
      <c r="EH102" s="3"/>
      <c r="EI102" s="3">
        <v>6000</v>
      </c>
      <c r="EJ102" s="7">
        <f t="shared" si="357"/>
        <v>0</v>
      </c>
      <c r="EK102" s="3" t="s">
        <v>157</v>
      </c>
      <c r="EL102" s="15"/>
      <c r="EM102" s="3">
        <v>3000</v>
      </c>
      <c r="EN102" s="3">
        <f t="shared" si="358"/>
        <v>0</v>
      </c>
      <c r="EO102" s="3" t="s">
        <v>126</v>
      </c>
      <c r="EP102" s="3">
        <f t="shared" si="359"/>
        <v>200</v>
      </c>
      <c r="EQ102" s="3">
        <v>1000</v>
      </c>
      <c r="ER102" s="7">
        <f t="shared" si="360"/>
        <v>200000</v>
      </c>
      <c r="ES102" s="3" t="s">
        <v>124</v>
      </c>
      <c r="ET102" s="3">
        <v>1</v>
      </c>
      <c r="EU102" s="3">
        <v>60000</v>
      </c>
      <c r="EV102" s="3">
        <f t="shared" si="361"/>
        <v>60000</v>
      </c>
      <c r="EW102" s="3" t="s">
        <v>124</v>
      </c>
      <c r="EX102" s="15"/>
      <c r="EY102" s="3">
        <v>60000</v>
      </c>
      <c r="EZ102" s="3"/>
      <c r="FA102" s="3" t="s">
        <v>170</v>
      </c>
      <c r="FB102" s="15"/>
      <c r="FC102" s="3">
        <v>1000</v>
      </c>
      <c r="FD102" s="3">
        <f t="shared" si="362"/>
        <v>0</v>
      </c>
      <c r="FE102" s="3" t="s">
        <v>126</v>
      </c>
      <c r="FF102" s="3"/>
      <c r="FG102" s="3">
        <v>6000</v>
      </c>
      <c r="FH102" s="3">
        <f t="shared" si="363"/>
        <v>0</v>
      </c>
      <c r="FI102" s="64">
        <f t="shared" si="364"/>
        <v>1010000</v>
      </c>
      <c r="FJ102" s="3" t="s">
        <v>139</v>
      </c>
      <c r="FK102" s="2">
        <v>40</v>
      </c>
      <c r="FL102" s="3">
        <v>6000</v>
      </c>
      <c r="FM102" s="3">
        <f t="shared" si="365"/>
        <v>240000</v>
      </c>
      <c r="FN102" s="3" t="s">
        <v>139</v>
      </c>
      <c r="FO102" s="3"/>
      <c r="FP102" s="3">
        <v>6000</v>
      </c>
      <c r="FQ102" s="3">
        <f t="shared" si="366"/>
        <v>0</v>
      </c>
      <c r="FR102" s="3" t="s">
        <v>139</v>
      </c>
      <c r="FS102" s="15"/>
      <c r="FT102" s="15">
        <v>6000</v>
      </c>
      <c r="FU102" s="3">
        <f t="shared" si="367"/>
        <v>0</v>
      </c>
      <c r="FV102" s="3" t="s">
        <v>139</v>
      </c>
      <c r="FW102" s="15"/>
      <c r="FX102" s="3">
        <v>8000</v>
      </c>
      <c r="FY102" s="3">
        <f t="shared" si="368"/>
        <v>0</v>
      </c>
      <c r="FZ102" s="3" t="s">
        <v>139</v>
      </c>
      <c r="GA102" s="3">
        <v>2</v>
      </c>
      <c r="GB102" s="3">
        <v>8000</v>
      </c>
      <c r="GC102" s="3">
        <f t="shared" si="369"/>
        <v>16000</v>
      </c>
      <c r="GD102" s="3" t="s">
        <v>139</v>
      </c>
      <c r="GE102" s="3">
        <v>10</v>
      </c>
      <c r="GF102" s="3">
        <v>10000</v>
      </c>
      <c r="GG102" s="3">
        <f t="shared" si="370"/>
        <v>100000</v>
      </c>
      <c r="GH102" s="3" t="s">
        <v>139</v>
      </c>
      <c r="GI102" s="15"/>
      <c r="GJ102" s="15"/>
      <c r="GK102" s="3">
        <f t="shared" si="371"/>
        <v>0</v>
      </c>
      <c r="GL102" s="63">
        <f t="shared" si="372"/>
        <v>356000</v>
      </c>
      <c r="GM102" s="8">
        <f t="shared" si="373"/>
        <v>2936000</v>
      </c>
      <c r="GN102" s="8">
        <f t="shared" si="374"/>
        <v>10000</v>
      </c>
      <c r="GO102" s="103">
        <v>2000</v>
      </c>
      <c r="GP102" s="8">
        <f t="shared" si="375"/>
        <v>20000000</v>
      </c>
      <c r="GQ102" s="8">
        <f t="shared" si="376"/>
        <v>40000000</v>
      </c>
      <c r="GR102" s="8">
        <f t="shared" si="377"/>
        <v>17064000</v>
      </c>
      <c r="GS102" s="8">
        <f t="shared" si="378"/>
        <v>37064000</v>
      </c>
      <c r="GT102" s="15" t="s">
        <v>2028</v>
      </c>
      <c r="GU102" s="15" t="s">
        <v>2011</v>
      </c>
    </row>
    <row r="103" spans="1:203" s="65" customFormat="1" ht="251.25" customHeight="1">
      <c r="A103" s="63">
        <v>104</v>
      </c>
      <c r="B103" s="18" t="s">
        <v>1968</v>
      </c>
      <c r="C103" s="15" t="s">
        <v>1969</v>
      </c>
      <c r="D103" s="15" t="s">
        <v>1970</v>
      </c>
      <c r="E103" s="15" t="s">
        <v>1971</v>
      </c>
      <c r="F103" s="15" t="s">
        <v>1972</v>
      </c>
      <c r="G103" s="15" t="s">
        <v>1973</v>
      </c>
      <c r="H103" s="15" t="s">
        <v>1974</v>
      </c>
      <c r="I103" s="15" t="s">
        <v>1975</v>
      </c>
      <c r="J103" s="15" t="s">
        <v>1976</v>
      </c>
      <c r="K103" s="15" t="s">
        <v>1977</v>
      </c>
      <c r="L103" s="15" t="s">
        <v>1978</v>
      </c>
      <c r="M103" s="15" t="s">
        <v>1979</v>
      </c>
      <c r="N103" s="15" t="s">
        <v>1980</v>
      </c>
      <c r="O103" s="15" t="s">
        <v>1981</v>
      </c>
      <c r="P103" s="15" t="s">
        <v>1983</v>
      </c>
      <c r="Q103" s="15" t="s">
        <v>1180</v>
      </c>
      <c r="R103" s="15">
        <v>1100</v>
      </c>
      <c r="S103" s="15">
        <v>1600</v>
      </c>
      <c r="T103" s="15">
        <v>3500</v>
      </c>
      <c r="U103" s="15">
        <v>360</v>
      </c>
      <c r="V103" s="15">
        <v>3600</v>
      </c>
      <c r="W103" s="15" t="s">
        <v>1982</v>
      </c>
      <c r="X103" s="15">
        <v>10</v>
      </c>
      <c r="Y103" s="15">
        <v>25</v>
      </c>
      <c r="Z103" s="15" t="s">
        <v>1985</v>
      </c>
      <c r="AA103" s="15" t="s">
        <v>1984</v>
      </c>
      <c r="AB103" s="15" t="s">
        <v>1986</v>
      </c>
      <c r="AC103" s="3">
        <v>50000</v>
      </c>
      <c r="AD103" s="15">
        <v>10</v>
      </c>
      <c r="AE103" s="15"/>
      <c r="AF103" s="3">
        <v>80000</v>
      </c>
      <c r="AG103" s="3">
        <f t="shared" si="211"/>
        <v>500000</v>
      </c>
      <c r="AH103" s="15" t="s">
        <v>1988</v>
      </c>
      <c r="AI103" s="15">
        <v>200</v>
      </c>
      <c r="AJ103" s="15">
        <v>1000</v>
      </c>
      <c r="AK103" s="55">
        <v>300</v>
      </c>
      <c r="AL103" s="15">
        <v>6000</v>
      </c>
      <c r="AM103" s="15"/>
      <c r="AN103" s="15">
        <v>3000</v>
      </c>
      <c r="AO103" s="19"/>
      <c r="AP103" s="15">
        <v>6000</v>
      </c>
      <c r="AQ103" s="3">
        <f t="shared" si="199"/>
        <v>2000000</v>
      </c>
      <c r="AR103" s="15" t="s">
        <v>1989</v>
      </c>
      <c r="AS103" s="15" t="s">
        <v>1990</v>
      </c>
      <c r="AT103" s="3" t="s">
        <v>139</v>
      </c>
      <c r="AU103" s="40"/>
      <c r="AV103" s="3">
        <v>6000</v>
      </c>
      <c r="AW103" s="3">
        <f t="shared" si="345"/>
        <v>0</v>
      </c>
      <c r="AX103" s="3" t="s">
        <v>139</v>
      </c>
      <c r="AY103" s="15"/>
      <c r="AZ103" s="3">
        <v>6000</v>
      </c>
      <c r="BA103" s="3">
        <f t="shared" si="346"/>
        <v>0</v>
      </c>
      <c r="BB103" s="3" t="s">
        <v>139</v>
      </c>
      <c r="BC103" s="35"/>
      <c r="BD103" s="3">
        <v>6000</v>
      </c>
      <c r="BE103" s="3">
        <f t="shared" si="347"/>
        <v>0</v>
      </c>
      <c r="BF103" s="3" t="s">
        <v>125</v>
      </c>
      <c r="BG103" s="3"/>
      <c r="BH103" s="3">
        <v>6000</v>
      </c>
      <c r="BI103" s="3">
        <f t="shared" si="348"/>
        <v>0</v>
      </c>
      <c r="BJ103" s="15" t="s">
        <v>20</v>
      </c>
      <c r="BK103" s="15"/>
      <c r="BL103" s="3">
        <v>1000</v>
      </c>
      <c r="BM103" s="3">
        <f t="shared" si="258"/>
        <v>0</v>
      </c>
      <c r="BN103" s="15" t="s">
        <v>20</v>
      </c>
      <c r="BO103" s="15"/>
      <c r="BP103" s="3">
        <v>3000</v>
      </c>
      <c r="BQ103" s="15"/>
      <c r="BR103" s="3" t="s">
        <v>126</v>
      </c>
      <c r="BS103" s="15"/>
      <c r="BT103" s="3">
        <f>6000</f>
        <v>6000</v>
      </c>
      <c r="BU103" s="3">
        <f t="shared" si="349"/>
        <v>0</v>
      </c>
      <c r="BV103" s="3" t="s">
        <v>126</v>
      </c>
      <c r="BW103" s="3"/>
      <c r="BX103" s="3">
        <v>6000</v>
      </c>
      <c r="BY103" s="3">
        <f t="shared" si="350"/>
        <v>0</v>
      </c>
      <c r="BZ103" s="93">
        <f t="shared" si="351"/>
        <v>0</v>
      </c>
      <c r="CA103" s="3" t="s">
        <v>139</v>
      </c>
      <c r="CB103" s="3">
        <v>5</v>
      </c>
      <c r="CC103" s="3">
        <v>8000</v>
      </c>
      <c r="CD103" s="3">
        <f t="shared" si="200"/>
        <v>40000</v>
      </c>
      <c r="CE103" s="2" t="s">
        <v>139</v>
      </c>
      <c r="CF103" s="2">
        <v>30</v>
      </c>
      <c r="CG103" s="2">
        <v>6000</v>
      </c>
      <c r="CH103" s="3">
        <f t="shared" si="201"/>
        <v>180000</v>
      </c>
      <c r="CI103" s="3" t="s">
        <v>139</v>
      </c>
      <c r="CJ103" s="3">
        <v>1</v>
      </c>
      <c r="CK103" s="14"/>
      <c r="CL103" s="3">
        <f t="shared" si="352"/>
        <v>0</v>
      </c>
      <c r="CM103" s="5">
        <f t="shared" si="327"/>
        <v>220000</v>
      </c>
      <c r="CN103" s="3" t="s">
        <v>125</v>
      </c>
      <c r="CO103" s="3">
        <v>0</v>
      </c>
      <c r="CP103" s="3">
        <v>6000</v>
      </c>
      <c r="CQ103" s="3">
        <f t="shared" si="336"/>
        <v>0</v>
      </c>
      <c r="CR103" s="3" t="s">
        <v>125</v>
      </c>
      <c r="CS103" s="3">
        <v>75</v>
      </c>
      <c r="CT103" s="3">
        <v>6000</v>
      </c>
      <c r="CU103" s="3">
        <f t="shared" si="337"/>
        <v>450000</v>
      </c>
      <c r="CV103" s="3" t="s">
        <v>125</v>
      </c>
      <c r="CW103" s="3">
        <v>30</v>
      </c>
      <c r="CX103" s="3">
        <v>6000</v>
      </c>
      <c r="CY103" s="3">
        <f t="shared" si="338"/>
        <v>180000</v>
      </c>
      <c r="CZ103" s="3" t="s">
        <v>125</v>
      </c>
      <c r="DA103" s="3">
        <v>15</v>
      </c>
      <c r="DB103" s="3">
        <v>6000</v>
      </c>
      <c r="DC103" s="3">
        <f t="shared" si="339"/>
        <v>90000</v>
      </c>
      <c r="DD103" s="3" t="s">
        <v>125</v>
      </c>
      <c r="DE103" s="3">
        <v>5</v>
      </c>
      <c r="DF103" s="3">
        <v>6000</v>
      </c>
      <c r="DG103" s="3">
        <f t="shared" si="340"/>
        <v>30000</v>
      </c>
      <c r="DH103" s="3" t="s">
        <v>125</v>
      </c>
      <c r="DI103" s="3">
        <v>100</v>
      </c>
      <c r="DJ103" s="3">
        <v>6000</v>
      </c>
      <c r="DK103" s="3">
        <f t="shared" si="341"/>
        <v>600000</v>
      </c>
      <c r="DL103" s="3" t="s">
        <v>125</v>
      </c>
      <c r="DM103" s="3"/>
      <c r="DN103" s="3">
        <v>6000</v>
      </c>
      <c r="DO103" s="3">
        <f t="shared" si="342"/>
        <v>0</v>
      </c>
      <c r="DP103" s="3" t="s">
        <v>125</v>
      </c>
      <c r="DQ103" s="3"/>
      <c r="DR103" s="3">
        <v>6000</v>
      </c>
      <c r="DS103" s="3">
        <f t="shared" si="343"/>
        <v>0</v>
      </c>
      <c r="DT103" s="6">
        <f t="shared" si="344"/>
        <v>1350000</v>
      </c>
      <c r="DU103" s="3" t="s">
        <v>157</v>
      </c>
      <c r="DV103" s="3"/>
      <c r="DW103" s="3"/>
      <c r="DX103" s="3"/>
      <c r="DY103" s="3" t="s">
        <v>127</v>
      </c>
      <c r="DZ103" s="3">
        <f t="shared" si="353"/>
        <v>10</v>
      </c>
      <c r="EA103" s="3">
        <v>50000</v>
      </c>
      <c r="EB103" s="3">
        <f t="shared" si="354"/>
        <v>500000</v>
      </c>
      <c r="EC103" s="3" t="s">
        <v>127</v>
      </c>
      <c r="ED103" s="3">
        <f t="shared" si="355"/>
        <v>0</v>
      </c>
      <c r="EE103" s="3">
        <v>80000</v>
      </c>
      <c r="EF103" s="3">
        <f t="shared" si="356"/>
        <v>0</v>
      </c>
      <c r="EG103" s="3" t="s">
        <v>157</v>
      </c>
      <c r="EH103" s="3"/>
      <c r="EI103" s="3">
        <v>6000</v>
      </c>
      <c r="EJ103" s="7">
        <f t="shared" si="357"/>
        <v>0</v>
      </c>
      <c r="EK103" s="3" t="s">
        <v>157</v>
      </c>
      <c r="EL103" s="15"/>
      <c r="EM103" s="3">
        <v>3000</v>
      </c>
      <c r="EN103" s="3">
        <f t="shared" si="358"/>
        <v>0</v>
      </c>
      <c r="EO103" s="3" t="s">
        <v>126</v>
      </c>
      <c r="EP103" s="3">
        <f t="shared" si="359"/>
        <v>200</v>
      </c>
      <c r="EQ103" s="3">
        <v>1000</v>
      </c>
      <c r="ER103" s="7">
        <f t="shared" si="360"/>
        <v>200000</v>
      </c>
      <c r="ES103" s="3" t="s">
        <v>124</v>
      </c>
      <c r="ET103" s="3">
        <v>1</v>
      </c>
      <c r="EU103" s="3">
        <v>60000</v>
      </c>
      <c r="EV103" s="3">
        <f t="shared" si="361"/>
        <v>60000</v>
      </c>
      <c r="EW103" s="3" t="s">
        <v>124</v>
      </c>
      <c r="EX103" s="15"/>
      <c r="EY103" s="3">
        <v>60000</v>
      </c>
      <c r="EZ103" s="3"/>
      <c r="FA103" s="3" t="s">
        <v>170</v>
      </c>
      <c r="FB103" s="15"/>
      <c r="FC103" s="3">
        <v>1000</v>
      </c>
      <c r="FD103" s="3">
        <f t="shared" si="362"/>
        <v>0</v>
      </c>
      <c r="FE103" s="3" t="s">
        <v>126</v>
      </c>
      <c r="FF103" s="3"/>
      <c r="FG103" s="3">
        <v>6000</v>
      </c>
      <c r="FH103" s="3">
        <f t="shared" si="363"/>
        <v>0</v>
      </c>
      <c r="FI103" s="64">
        <f t="shared" si="364"/>
        <v>760000</v>
      </c>
      <c r="FJ103" s="3" t="s">
        <v>139</v>
      </c>
      <c r="FK103" s="2">
        <v>40</v>
      </c>
      <c r="FL103" s="3">
        <v>6000</v>
      </c>
      <c r="FM103" s="3">
        <f t="shared" si="365"/>
        <v>240000</v>
      </c>
      <c r="FN103" s="3" t="s">
        <v>139</v>
      </c>
      <c r="FO103" s="3"/>
      <c r="FP103" s="3">
        <v>6000</v>
      </c>
      <c r="FQ103" s="3">
        <f t="shared" si="366"/>
        <v>0</v>
      </c>
      <c r="FR103" s="3" t="s">
        <v>139</v>
      </c>
      <c r="FS103" s="15">
        <v>10</v>
      </c>
      <c r="FT103" s="15">
        <v>6000</v>
      </c>
      <c r="FU103" s="3">
        <f t="shared" si="367"/>
        <v>60000</v>
      </c>
      <c r="FV103" s="3" t="s">
        <v>139</v>
      </c>
      <c r="FW103" s="15"/>
      <c r="FX103" s="3">
        <v>8000</v>
      </c>
      <c r="FY103" s="3">
        <f t="shared" si="368"/>
        <v>0</v>
      </c>
      <c r="FZ103" s="3" t="s">
        <v>139</v>
      </c>
      <c r="GA103" s="3">
        <v>2</v>
      </c>
      <c r="GB103" s="3">
        <v>8000</v>
      </c>
      <c r="GC103" s="3">
        <f t="shared" si="369"/>
        <v>16000</v>
      </c>
      <c r="GD103" s="3" t="s">
        <v>139</v>
      </c>
      <c r="GE103" s="3">
        <v>10</v>
      </c>
      <c r="GF103" s="3">
        <v>10000</v>
      </c>
      <c r="GG103" s="3">
        <f t="shared" si="370"/>
        <v>100000</v>
      </c>
      <c r="GH103" s="3" t="s">
        <v>139</v>
      </c>
      <c r="GI103" s="15"/>
      <c r="GJ103" s="15"/>
      <c r="GK103" s="3">
        <f t="shared" si="371"/>
        <v>0</v>
      </c>
      <c r="GL103" s="63">
        <f t="shared" si="372"/>
        <v>416000</v>
      </c>
      <c r="GM103" s="8">
        <f t="shared" si="373"/>
        <v>2746000</v>
      </c>
      <c r="GN103" s="8">
        <f t="shared" si="374"/>
        <v>10000</v>
      </c>
      <c r="GO103" s="103">
        <v>10000</v>
      </c>
      <c r="GP103" s="8">
        <f t="shared" si="375"/>
        <v>100000000</v>
      </c>
      <c r="GQ103" s="8">
        <f t="shared" si="376"/>
        <v>250000000</v>
      </c>
      <c r="GR103" s="8">
        <f t="shared" si="377"/>
        <v>97254000</v>
      </c>
      <c r="GS103" s="8">
        <f t="shared" si="378"/>
        <v>247254000</v>
      </c>
      <c r="GT103" s="15" t="s">
        <v>2029</v>
      </c>
      <c r="GU103" s="15" t="s">
        <v>1991</v>
      </c>
    </row>
    <row r="104" spans="1:203" s="66" customFormat="1" ht="251.25" customHeight="1">
      <c r="A104" s="63">
        <v>105</v>
      </c>
      <c r="B104" s="18" t="s">
        <v>786</v>
      </c>
      <c r="C104" s="15" t="s">
        <v>1947</v>
      </c>
      <c r="D104" s="15" t="s">
        <v>1948</v>
      </c>
      <c r="E104" s="15" t="s">
        <v>1949</v>
      </c>
      <c r="F104" s="15" t="s">
        <v>1950</v>
      </c>
      <c r="G104" s="15" t="s">
        <v>1951</v>
      </c>
      <c r="H104" s="15" t="s">
        <v>1952</v>
      </c>
      <c r="I104" s="15" t="s">
        <v>1953</v>
      </c>
      <c r="J104" s="15" t="s">
        <v>1954</v>
      </c>
      <c r="K104" s="15" t="s">
        <v>1955</v>
      </c>
      <c r="L104" s="15" t="s">
        <v>1956</v>
      </c>
      <c r="M104" s="15" t="s">
        <v>1957</v>
      </c>
      <c r="N104" s="15" t="s">
        <v>1958</v>
      </c>
      <c r="O104" s="15" t="s">
        <v>1959</v>
      </c>
      <c r="P104" s="15" t="s">
        <v>1960</v>
      </c>
      <c r="Q104" s="15" t="s">
        <v>1128</v>
      </c>
      <c r="R104" s="15">
        <v>0.3</v>
      </c>
      <c r="S104" s="15">
        <v>0.5</v>
      </c>
      <c r="T104" s="15">
        <v>100000</v>
      </c>
      <c r="U104" s="15">
        <v>90</v>
      </c>
      <c r="V104" s="15">
        <v>150</v>
      </c>
      <c r="W104" s="15" t="s">
        <v>1961</v>
      </c>
      <c r="X104" s="15">
        <v>7</v>
      </c>
      <c r="Y104" s="15">
        <v>16</v>
      </c>
      <c r="Z104" s="15" t="s">
        <v>1962</v>
      </c>
      <c r="AA104" s="15" t="s">
        <v>1963</v>
      </c>
      <c r="AB104" s="15" t="s">
        <v>1964</v>
      </c>
      <c r="AC104" s="3">
        <v>50000</v>
      </c>
      <c r="AD104" s="15">
        <v>20</v>
      </c>
      <c r="AE104" s="15"/>
      <c r="AF104" s="3">
        <v>80000</v>
      </c>
      <c r="AG104" s="3">
        <f t="shared" si="211"/>
        <v>1000000</v>
      </c>
      <c r="AH104" s="15" t="s">
        <v>1987</v>
      </c>
      <c r="AI104" s="15">
        <v>300</v>
      </c>
      <c r="AJ104" s="15">
        <v>1000</v>
      </c>
      <c r="AK104" s="55">
        <v>200</v>
      </c>
      <c r="AL104" s="15">
        <v>6000</v>
      </c>
      <c r="AM104" s="15">
        <v>100</v>
      </c>
      <c r="AN104" s="15">
        <v>3000</v>
      </c>
      <c r="AO104" s="15"/>
      <c r="AP104" s="15">
        <v>6000</v>
      </c>
      <c r="AQ104" s="3">
        <f t="shared" si="199"/>
        <v>1800000</v>
      </c>
      <c r="AR104" s="15" t="s">
        <v>1966</v>
      </c>
      <c r="AS104" s="15" t="s">
        <v>1965</v>
      </c>
      <c r="AT104" s="2" t="s">
        <v>139</v>
      </c>
      <c r="AU104" s="13">
        <v>7.5</v>
      </c>
      <c r="AV104" s="3">
        <v>6000</v>
      </c>
      <c r="AW104" s="2">
        <f t="shared" si="345"/>
        <v>45000</v>
      </c>
      <c r="AX104" s="2" t="s">
        <v>139</v>
      </c>
      <c r="AY104" s="13">
        <v>5</v>
      </c>
      <c r="AZ104" s="3">
        <v>6000</v>
      </c>
      <c r="BA104" s="2">
        <f t="shared" si="346"/>
        <v>30000</v>
      </c>
      <c r="BB104" s="2" t="s">
        <v>139</v>
      </c>
      <c r="BC104" s="13">
        <v>2</v>
      </c>
      <c r="BD104" s="3">
        <v>6000</v>
      </c>
      <c r="BE104" s="3">
        <f t="shared" si="347"/>
        <v>12000</v>
      </c>
      <c r="BF104" s="3" t="s">
        <v>125</v>
      </c>
      <c r="BG104" s="2">
        <v>2</v>
      </c>
      <c r="BH104" s="3">
        <v>6000</v>
      </c>
      <c r="BI104" s="3">
        <f t="shared" si="348"/>
        <v>12000</v>
      </c>
      <c r="BJ104" s="3" t="s">
        <v>126</v>
      </c>
      <c r="BK104" s="13"/>
      <c r="BL104" s="3">
        <v>1000</v>
      </c>
      <c r="BM104" s="3">
        <f t="shared" si="258"/>
        <v>0</v>
      </c>
      <c r="BN104" s="13" t="s">
        <v>20</v>
      </c>
      <c r="BO104" s="13"/>
      <c r="BP104" s="2">
        <v>3000</v>
      </c>
      <c r="BQ104" s="3">
        <f t="shared" ref="BQ104" si="379">BO104*BP104</f>
        <v>0</v>
      </c>
      <c r="BR104" s="2" t="s">
        <v>126</v>
      </c>
      <c r="BS104" s="13"/>
      <c r="BT104" s="2">
        <f>6000</f>
        <v>6000</v>
      </c>
      <c r="BU104" s="3">
        <f t="shared" si="349"/>
        <v>0</v>
      </c>
      <c r="BV104" s="2" t="s">
        <v>126</v>
      </c>
      <c r="BW104" s="13">
        <v>9</v>
      </c>
      <c r="BX104" s="2">
        <v>6000</v>
      </c>
      <c r="BY104" s="3">
        <f t="shared" si="350"/>
        <v>54000</v>
      </c>
      <c r="BZ104" s="92">
        <f t="shared" si="351"/>
        <v>123000</v>
      </c>
      <c r="CA104" s="3" t="s">
        <v>139</v>
      </c>
      <c r="CB104" s="15"/>
      <c r="CC104" s="3">
        <v>8000</v>
      </c>
      <c r="CD104" s="3">
        <f t="shared" si="200"/>
        <v>0</v>
      </c>
      <c r="CE104" s="3" t="s">
        <v>139</v>
      </c>
      <c r="CF104" s="15"/>
      <c r="CG104" s="3">
        <v>6000</v>
      </c>
      <c r="CH104" s="3">
        <f t="shared" si="201"/>
        <v>0</v>
      </c>
      <c r="CI104" s="3" t="s">
        <v>139</v>
      </c>
      <c r="CJ104" s="3">
        <v>1</v>
      </c>
      <c r="CK104" s="15"/>
      <c r="CL104" s="3">
        <f t="shared" ref="CL104" si="380">CJ104*CK104</f>
        <v>0</v>
      </c>
      <c r="CM104" s="8">
        <f t="shared" ref="CM104" si="381">CD104+CH104+CL104</f>
        <v>0</v>
      </c>
      <c r="CN104" s="3" t="s">
        <v>125</v>
      </c>
      <c r="CO104" s="3">
        <v>0</v>
      </c>
      <c r="CP104" s="3">
        <v>6000</v>
      </c>
      <c r="CQ104" s="3">
        <f t="shared" si="336"/>
        <v>0</v>
      </c>
      <c r="CR104" s="3" t="s">
        <v>125</v>
      </c>
      <c r="CS104" s="3">
        <v>75</v>
      </c>
      <c r="CT104" s="3">
        <v>6000</v>
      </c>
      <c r="CU104" s="3">
        <f t="shared" si="337"/>
        <v>450000</v>
      </c>
      <c r="CV104" s="3" t="s">
        <v>125</v>
      </c>
      <c r="CW104" s="3">
        <v>30</v>
      </c>
      <c r="CX104" s="3">
        <v>6000</v>
      </c>
      <c r="CY104" s="3">
        <f t="shared" si="338"/>
        <v>180000</v>
      </c>
      <c r="CZ104" s="3" t="s">
        <v>125</v>
      </c>
      <c r="DA104" s="3">
        <v>15</v>
      </c>
      <c r="DB104" s="3">
        <v>6000</v>
      </c>
      <c r="DC104" s="3">
        <f t="shared" si="339"/>
        <v>90000</v>
      </c>
      <c r="DD104" s="3" t="s">
        <v>125</v>
      </c>
      <c r="DE104" s="3">
        <v>5</v>
      </c>
      <c r="DF104" s="3">
        <v>6000</v>
      </c>
      <c r="DG104" s="3">
        <f t="shared" si="340"/>
        <v>30000</v>
      </c>
      <c r="DH104" s="3" t="s">
        <v>125</v>
      </c>
      <c r="DI104" s="3">
        <v>100</v>
      </c>
      <c r="DJ104" s="3">
        <v>6000</v>
      </c>
      <c r="DK104" s="3">
        <f t="shared" si="341"/>
        <v>600000</v>
      </c>
      <c r="DL104" s="3" t="s">
        <v>125</v>
      </c>
      <c r="DM104" s="3"/>
      <c r="DN104" s="3">
        <v>6000</v>
      </c>
      <c r="DO104" s="3">
        <f t="shared" si="342"/>
        <v>0</v>
      </c>
      <c r="DP104" s="3" t="s">
        <v>125</v>
      </c>
      <c r="DQ104" s="3"/>
      <c r="DR104" s="3">
        <v>6000</v>
      </c>
      <c r="DS104" s="3">
        <f t="shared" si="343"/>
        <v>0</v>
      </c>
      <c r="DT104" s="6">
        <f t="shared" si="344"/>
        <v>1350000</v>
      </c>
      <c r="DU104" s="3" t="s">
        <v>157</v>
      </c>
      <c r="DV104" s="15"/>
      <c r="DW104" s="15"/>
      <c r="DX104" s="15"/>
      <c r="DY104" s="3" t="s">
        <v>127</v>
      </c>
      <c r="DZ104" s="3">
        <f t="shared" si="353"/>
        <v>20</v>
      </c>
      <c r="EA104" s="3">
        <v>50000</v>
      </c>
      <c r="EB104" s="3">
        <f t="shared" si="354"/>
        <v>1000000</v>
      </c>
      <c r="EC104" s="3" t="s">
        <v>127</v>
      </c>
      <c r="ED104" s="3">
        <f t="shared" si="355"/>
        <v>0</v>
      </c>
      <c r="EE104" s="3">
        <v>80000</v>
      </c>
      <c r="EF104" s="3">
        <f t="shared" si="356"/>
        <v>0</v>
      </c>
      <c r="EG104" s="3" t="s">
        <v>157</v>
      </c>
      <c r="EH104" s="15"/>
      <c r="EI104" s="3">
        <v>6000</v>
      </c>
      <c r="EJ104" s="7">
        <f t="shared" si="357"/>
        <v>0</v>
      </c>
      <c r="EK104" s="3" t="s">
        <v>157</v>
      </c>
      <c r="EL104" s="15"/>
      <c r="EM104" s="3">
        <v>3000</v>
      </c>
      <c r="EN104" s="3">
        <f t="shared" si="358"/>
        <v>0</v>
      </c>
      <c r="EO104" s="3" t="s">
        <v>126</v>
      </c>
      <c r="EP104" s="3">
        <f t="shared" si="359"/>
        <v>300</v>
      </c>
      <c r="EQ104" s="3">
        <v>1000</v>
      </c>
      <c r="ER104" s="7">
        <f t="shared" si="360"/>
        <v>300000</v>
      </c>
      <c r="ES104" s="3" t="s">
        <v>124</v>
      </c>
      <c r="ET104" s="3">
        <v>1</v>
      </c>
      <c r="EU104" s="3">
        <v>60000</v>
      </c>
      <c r="EV104" s="3">
        <f t="shared" si="361"/>
        <v>60000</v>
      </c>
      <c r="EW104" s="3" t="s">
        <v>124</v>
      </c>
      <c r="EX104" s="15"/>
      <c r="EY104" s="3">
        <v>60000</v>
      </c>
      <c r="EZ104" s="15"/>
      <c r="FA104" s="3" t="s">
        <v>170</v>
      </c>
      <c r="FB104" s="15"/>
      <c r="FC104" s="3">
        <v>1000</v>
      </c>
      <c r="FD104" s="3">
        <f t="shared" si="362"/>
        <v>0</v>
      </c>
      <c r="FE104" s="3" t="s">
        <v>126</v>
      </c>
      <c r="FF104" s="15"/>
      <c r="FG104" s="3">
        <v>6000</v>
      </c>
      <c r="FH104" s="3">
        <f t="shared" si="363"/>
        <v>0</v>
      </c>
      <c r="FI104" s="64">
        <f t="shared" si="364"/>
        <v>1360000</v>
      </c>
      <c r="FJ104" s="3" t="s">
        <v>139</v>
      </c>
      <c r="FK104" s="2">
        <v>40</v>
      </c>
      <c r="FL104" s="3">
        <v>6000</v>
      </c>
      <c r="FM104" s="3">
        <f t="shared" si="365"/>
        <v>240000</v>
      </c>
      <c r="FN104" s="3" t="s">
        <v>139</v>
      </c>
      <c r="FO104" s="3"/>
      <c r="FP104" s="3">
        <v>6000</v>
      </c>
      <c r="FQ104" s="3">
        <f t="shared" si="366"/>
        <v>0</v>
      </c>
      <c r="FR104" s="3" t="s">
        <v>139</v>
      </c>
      <c r="FS104" s="15"/>
      <c r="FT104" s="15">
        <v>6000</v>
      </c>
      <c r="FU104" s="3">
        <f t="shared" si="367"/>
        <v>0</v>
      </c>
      <c r="FV104" s="3" t="s">
        <v>139</v>
      </c>
      <c r="FW104" s="15"/>
      <c r="FX104" s="3">
        <v>8000</v>
      </c>
      <c r="FY104" s="3">
        <f t="shared" si="368"/>
        <v>0</v>
      </c>
      <c r="FZ104" s="3" t="s">
        <v>139</v>
      </c>
      <c r="GA104" s="3">
        <v>2</v>
      </c>
      <c r="GB104" s="3">
        <v>8000</v>
      </c>
      <c r="GC104" s="3">
        <f t="shared" si="369"/>
        <v>16000</v>
      </c>
      <c r="GD104" s="3" t="s">
        <v>139</v>
      </c>
      <c r="GE104" s="3">
        <v>10</v>
      </c>
      <c r="GF104" s="3">
        <v>10000</v>
      </c>
      <c r="GG104" s="3">
        <f t="shared" si="370"/>
        <v>100000</v>
      </c>
      <c r="GH104" s="3" t="s">
        <v>139</v>
      </c>
      <c r="GI104" s="15"/>
      <c r="GJ104" s="15"/>
      <c r="GK104" s="3">
        <f t="shared" si="371"/>
        <v>0</v>
      </c>
      <c r="GL104" s="63">
        <f t="shared" si="372"/>
        <v>356000</v>
      </c>
      <c r="GM104" s="8">
        <f t="shared" si="373"/>
        <v>3189000</v>
      </c>
      <c r="GN104" s="8">
        <f t="shared" si="374"/>
        <v>7000</v>
      </c>
      <c r="GO104" s="103">
        <v>3000</v>
      </c>
      <c r="GP104" s="8">
        <f t="shared" si="375"/>
        <v>21000000</v>
      </c>
      <c r="GQ104" s="8">
        <f t="shared" si="376"/>
        <v>48000000</v>
      </c>
      <c r="GR104" s="8">
        <f t="shared" si="377"/>
        <v>17811000</v>
      </c>
      <c r="GS104" s="8">
        <f t="shared" si="378"/>
        <v>44811000</v>
      </c>
      <c r="GT104" s="15" t="s">
        <v>2030</v>
      </c>
      <c r="GU104" s="15" t="s">
        <v>1967</v>
      </c>
    </row>
    <row r="105" spans="1:203" s="25" customFormat="1" ht="409.5" customHeight="1">
      <c r="A105" s="88"/>
      <c r="B105" s="88"/>
      <c r="F105" s="66"/>
      <c r="CM105" s="89"/>
      <c r="DT105" s="89"/>
      <c r="EJ105" s="90"/>
      <c r="ER105" s="90"/>
      <c r="FI105" s="90"/>
      <c r="GM105" s="89"/>
      <c r="GN105" s="89"/>
      <c r="GO105" s="106"/>
      <c r="GP105" s="91"/>
      <c r="GQ105" s="91"/>
      <c r="GR105" s="91"/>
      <c r="GS105" s="91"/>
      <c r="GT105" s="66"/>
    </row>
    <row r="106" spans="1:203" s="25" customFormat="1" ht="409.5" customHeight="1">
      <c r="A106" s="88"/>
      <c r="B106" s="88"/>
      <c r="F106" s="66"/>
      <c r="CM106" s="89"/>
      <c r="DT106" s="89"/>
      <c r="EJ106" s="90"/>
      <c r="ER106" s="90"/>
      <c r="FI106" s="90"/>
      <c r="GM106" s="89"/>
      <c r="GN106" s="89"/>
      <c r="GO106" s="106"/>
      <c r="GP106" s="91"/>
      <c r="GQ106" s="91"/>
      <c r="GR106" s="91"/>
      <c r="GS106" s="91"/>
      <c r="GT106" s="66"/>
    </row>
    <row r="107" spans="1:203" s="25" customFormat="1" ht="409.5" customHeight="1">
      <c r="A107" s="88"/>
      <c r="B107" s="88"/>
      <c r="F107" s="66"/>
      <c r="CM107" s="89"/>
      <c r="DT107" s="89"/>
      <c r="EJ107" s="90"/>
      <c r="ER107" s="90"/>
      <c r="FI107" s="90"/>
      <c r="GM107" s="89"/>
      <c r="GN107" s="89"/>
      <c r="GO107" s="106"/>
      <c r="GP107" s="91"/>
      <c r="GQ107" s="91"/>
      <c r="GR107" s="91"/>
      <c r="GS107" s="91"/>
      <c r="GT107" s="66"/>
    </row>
    <row r="108" spans="1:203" s="25" customFormat="1" ht="409.5" customHeight="1">
      <c r="A108" s="88"/>
      <c r="B108" s="88"/>
      <c r="F108" s="66"/>
      <c r="CM108" s="89"/>
      <c r="DT108" s="89"/>
      <c r="EJ108" s="90"/>
      <c r="ER108" s="90"/>
      <c r="FI108" s="90"/>
      <c r="GM108" s="89"/>
      <c r="GN108" s="89"/>
      <c r="GO108" s="106"/>
      <c r="GP108" s="91"/>
      <c r="GQ108" s="91"/>
      <c r="GR108" s="91"/>
      <c r="GS108" s="91"/>
      <c r="GT108" s="66"/>
    </row>
    <row r="109" spans="1:203" s="25" customFormat="1" ht="409.5" customHeight="1">
      <c r="A109" s="88"/>
      <c r="B109" s="88"/>
      <c r="F109" s="66"/>
      <c r="CM109" s="89"/>
      <c r="DT109" s="89"/>
      <c r="EJ109" s="90"/>
      <c r="ER109" s="90"/>
      <c r="FI109" s="90"/>
      <c r="GM109" s="89"/>
      <c r="GN109" s="89"/>
      <c r="GO109" s="106"/>
      <c r="GP109" s="91"/>
      <c r="GQ109" s="91"/>
      <c r="GR109" s="91"/>
      <c r="GS109" s="91"/>
      <c r="GT109" s="66"/>
    </row>
    <row r="110" spans="1:203" s="25" customFormat="1" ht="409.5" customHeight="1">
      <c r="A110" s="88"/>
      <c r="B110" s="88"/>
      <c r="F110" s="66"/>
      <c r="CM110" s="89"/>
      <c r="DT110" s="89"/>
      <c r="EJ110" s="90"/>
      <c r="ER110" s="90"/>
      <c r="FI110" s="90"/>
      <c r="GM110" s="89"/>
      <c r="GN110" s="89"/>
      <c r="GO110" s="106"/>
      <c r="GP110" s="91"/>
      <c r="GQ110" s="91"/>
      <c r="GR110" s="91"/>
      <c r="GS110" s="91"/>
      <c r="GT110" s="66"/>
    </row>
    <row r="111" spans="1:203" s="25" customFormat="1" ht="409.5" customHeight="1">
      <c r="A111" s="88"/>
      <c r="B111" s="88"/>
      <c r="F111" s="66"/>
      <c r="CM111" s="89"/>
      <c r="DT111" s="89"/>
      <c r="EJ111" s="90"/>
      <c r="ER111" s="90"/>
      <c r="FI111" s="90"/>
      <c r="GM111" s="89"/>
      <c r="GN111" s="89"/>
      <c r="GO111" s="106"/>
      <c r="GP111" s="91"/>
      <c r="GQ111" s="91"/>
      <c r="GR111" s="91"/>
      <c r="GS111" s="91"/>
      <c r="GT111" s="66"/>
    </row>
    <row r="112" spans="1:203" s="25" customFormat="1" ht="409.5" customHeight="1">
      <c r="A112" s="88"/>
      <c r="B112" s="88"/>
      <c r="F112" s="66"/>
      <c r="CM112" s="89"/>
      <c r="DT112" s="89"/>
      <c r="EJ112" s="90"/>
      <c r="ER112" s="90"/>
      <c r="FI112" s="90"/>
      <c r="GM112" s="89"/>
      <c r="GN112" s="89"/>
      <c r="GO112" s="106"/>
      <c r="GP112" s="91"/>
      <c r="GQ112" s="91"/>
      <c r="GR112" s="91"/>
      <c r="GS112" s="91"/>
      <c r="GT112" s="66"/>
    </row>
    <row r="113" spans="1:202" s="25" customFormat="1" ht="409.5" customHeight="1">
      <c r="A113" s="88"/>
      <c r="B113" s="88"/>
      <c r="F113" s="66"/>
      <c r="CM113" s="89"/>
      <c r="DT113" s="89"/>
      <c r="EJ113" s="90"/>
      <c r="ER113" s="90"/>
      <c r="FI113" s="90"/>
      <c r="GM113" s="89"/>
      <c r="GN113" s="89"/>
      <c r="GO113" s="106"/>
      <c r="GP113" s="91"/>
      <c r="GQ113" s="91"/>
      <c r="GR113" s="91"/>
      <c r="GS113" s="91"/>
      <c r="GT113" s="66"/>
    </row>
    <row r="114" spans="1:202" s="25" customFormat="1" ht="409.5" customHeight="1">
      <c r="A114" s="88"/>
      <c r="B114" s="88"/>
      <c r="F114" s="66"/>
      <c r="CM114" s="89"/>
      <c r="DT114" s="89"/>
      <c r="EJ114" s="90"/>
      <c r="ER114" s="90"/>
      <c r="FI114" s="90"/>
      <c r="GM114" s="89"/>
      <c r="GN114" s="89"/>
      <c r="GO114" s="106"/>
      <c r="GP114" s="91"/>
      <c r="GQ114" s="91"/>
      <c r="GR114" s="91"/>
      <c r="GS114" s="91"/>
      <c r="GT114" s="66"/>
    </row>
    <row r="115" spans="1:202" s="25" customFormat="1" ht="409.5" customHeight="1">
      <c r="A115" s="88"/>
      <c r="B115" s="88"/>
      <c r="F115" s="66"/>
      <c r="CM115" s="89"/>
      <c r="DT115" s="89"/>
      <c r="EJ115" s="90"/>
      <c r="ER115" s="90"/>
      <c r="FI115" s="90"/>
      <c r="GM115" s="89"/>
      <c r="GN115" s="89"/>
      <c r="GO115" s="106"/>
      <c r="GP115" s="91"/>
      <c r="GQ115" s="91"/>
      <c r="GR115" s="91"/>
      <c r="GS115" s="91"/>
      <c r="GT115" s="66"/>
    </row>
    <row r="116" spans="1:202" s="25" customFormat="1" ht="409.5" customHeight="1">
      <c r="A116" s="88"/>
      <c r="B116" s="88"/>
      <c r="F116" s="66"/>
      <c r="CM116" s="89"/>
      <c r="DT116" s="89"/>
      <c r="EJ116" s="90"/>
      <c r="ER116" s="90"/>
      <c r="FI116" s="90"/>
      <c r="GM116" s="89"/>
      <c r="GN116" s="89"/>
      <c r="GO116" s="106"/>
      <c r="GP116" s="91"/>
      <c r="GQ116" s="91"/>
      <c r="GR116" s="91"/>
      <c r="GS116" s="91"/>
      <c r="GT116" s="66"/>
    </row>
    <row r="117" spans="1:202" s="25" customFormat="1" ht="409.5" customHeight="1">
      <c r="A117" s="88"/>
      <c r="B117" s="88"/>
      <c r="F117" s="66"/>
      <c r="CM117" s="89"/>
      <c r="DT117" s="89"/>
      <c r="EJ117" s="90"/>
      <c r="ER117" s="90"/>
      <c r="FI117" s="90"/>
      <c r="GM117" s="89"/>
      <c r="GN117" s="89"/>
      <c r="GO117" s="106"/>
      <c r="GP117" s="91"/>
      <c r="GQ117" s="91"/>
      <c r="GR117" s="91"/>
      <c r="GS117" s="91"/>
      <c r="GT117" s="66"/>
    </row>
    <row r="118" spans="1:202" s="25" customFormat="1" ht="409.5" customHeight="1">
      <c r="A118" s="88"/>
      <c r="B118" s="88"/>
      <c r="F118" s="66"/>
      <c r="CM118" s="89"/>
      <c r="DT118" s="89"/>
      <c r="EJ118" s="90"/>
      <c r="ER118" s="90"/>
      <c r="FI118" s="90"/>
      <c r="GM118" s="89"/>
      <c r="GN118" s="89"/>
      <c r="GO118" s="106"/>
      <c r="GP118" s="91"/>
      <c r="GQ118" s="91"/>
      <c r="GR118" s="91"/>
      <c r="GS118" s="91"/>
      <c r="GT118" s="66"/>
    </row>
    <row r="119" spans="1:202" s="25" customFormat="1" ht="409.5" customHeight="1">
      <c r="A119" s="88"/>
      <c r="B119" s="88"/>
      <c r="F119" s="66"/>
      <c r="CM119" s="89"/>
      <c r="DT119" s="89"/>
      <c r="EJ119" s="90"/>
      <c r="ER119" s="90"/>
      <c r="FI119" s="90"/>
      <c r="GM119" s="89"/>
      <c r="GN119" s="89"/>
      <c r="GO119" s="106"/>
      <c r="GP119" s="91"/>
      <c r="GQ119" s="91"/>
      <c r="GR119" s="91"/>
      <c r="GS119" s="91"/>
      <c r="GT119" s="66"/>
    </row>
    <row r="120" spans="1:202" s="25" customFormat="1" ht="409.5" customHeight="1">
      <c r="A120" s="88"/>
      <c r="B120" s="88"/>
      <c r="F120" s="66"/>
      <c r="CM120" s="89"/>
      <c r="DT120" s="89"/>
      <c r="EJ120" s="90"/>
      <c r="ER120" s="90"/>
      <c r="FI120" s="90"/>
      <c r="GM120" s="89"/>
      <c r="GN120" s="89"/>
      <c r="GO120" s="106"/>
      <c r="GP120" s="91"/>
      <c r="GQ120" s="91"/>
      <c r="GR120" s="91"/>
      <c r="GS120" s="91"/>
      <c r="GT120" s="66"/>
    </row>
    <row r="121" spans="1:202" s="25" customFormat="1" ht="409.5" customHeight="1">
      <c r="A121" s="88"/>
      <c r="B121" s="88"/>
      <c r="F121" s="66"/>
      <c r="CM121" s="89"/>
      <c r="DT121" s="89"/>
      <c r="EJ121" s="90"/>
      <c r="ER121" s="90"/>
      <c r="FI121" s="90"/>
      <c r="GM121" s="89"/>
      <c r="GN121" s="89"/>
      <c r="GO121" s="106"/>
      <c r="GP121" s="91"/>
      <c r="GQ121" s="91"/>
      <c r="GR121" s="91"/>
      <c r="GS121" s="91"/>
      <c r="GT121" s="66"/>
    </row>
    <row r="122" spans="1:202" s="25" customFormat="1" ht="409.5" customHeight="1">
      <c r="A122" s="88"/>
      <c r="B122" s="88"/>
      <c r="F122" s="66"/>
      <c r="CM122" s="89"/>
      <c r="DT122" s="89"/>
      <c r="EJ122" s="90"/>
      <c r="ER122" s="90"/>
      <c r="FI122" s="90"/>
      <c r="GM122" s="89"/>
      <c r="GN122" s="89"/>
      <c r="GO122" s="106"/>
      <c r="GP122" s="91"/>
      <c r="GQ122" s="91"/>
      <c r="GR122" s="91"/>
      <c r="GS122" s="91"/>
      <c r="GT122" s="66"/>
    </row>
    <row r="123" spans="1:202" s="25" customFormat="1" ht="409.5" customHeight="1">
      <c r="A123" s="88"/>
      <c r="B123" s="88"/>
      <c r="F123" s="66"/>
      <c r="CM123" s="89"/>
      <c r="DT123" s="89"/>
      <c r="EJ123" s="90"/>
      <c r="ER123" s="90"/>
      <c r="FI123" s="90"/>
      <c r="GM123" s="89"/>
      <c r="GN123" s="89"/>
      <c r="GO123" s="106"/>
      <c r="GP123" s="91"/>
      <c r="GQ123" s="91"/>
      <c r="GR123" s="91"/>
      <c r="GS123" s="91"/>
      <c r="GT123" s="66"/>
    </row>
    <row r="124" spans="1:202" s="25" customFormat="1" ht="409.5" customHeight="1">
      <c r="A124" s="88"/>
      <c r="B124" s="88"/>
      <c r="F124" s="66"/>
      <c r="CM124" s="89"/>
      <c r="DT124" s="89"/>
      <c r="EJ124" s="90"/>
      <c r="ER124" s="90"/>
      <c r="FI124" s="90"/>
      <c r="GM124" s="89"/>
      <c r="GN124" s="89"/>
      <c r="GO124" s="106"/>
      <c r="GP124" s="91"/>
      <c r="GQ124" s="91"/>
      <c r="GR124" s="91"/>
      <c r="GS124" s="91"/>
      <c r="GT124" s="66"/>
    </row>
    <row r="125" spans="1:202" s="25" customFormat="1" ht="409.5" customHeight="1">
      <c r="A125" s="88"/>
      <c r="B125" s="88"/>
      <c r="F125" s="66"/>
      <c r="CM125" s="89"/>
      <c r="DT125" s="89"/>
      <c r="EJ125" s="90"/>
      <c r="ER125" s="90"/>
      <c r="FI125" s="90"/>
      <c r="GM125" s="89"/>
      <c r="GN125" s="89"/>
      <c r="GO125" s="106"/>
      <c r="GP125" s="91"/>
      <c r="GQ125" s="91"/>
      <c r="GR125" s="91"/>
      <c r="GS125" s="91"/>
      <c r="GT125" s="66"/>
    </row>
    <row r="126" spans="1:202" s="25" customFormat="1" ht="409.5" customHeight="1">
      <c r="A126" s="88"/>
      <c r="B126" s="88"/>
      <c r="F126" s="66"/>
      <c r="CM126" s="89"/>
      <c r="DT126" s="89"/>
      <c r="EJ126" s="90"/>
      <c r="ER126" s="90"/>
      <c r="FI126" s="90"/>
      <c r="GM126" s="89"/>
      <c r="GN126" s="89"/>
      <c r="GO126" s="106"/>
      <c r="GP126" s="91"/>
      <c r="GQ126" s="91"/>
      <c r="GR126" s="91"/>
      <c r="GS126" s="91"/>
      <c r="GT126" s="66"/>
    </row>
    <row r="127" spans="1:202" s="25" customFormat="1" ht="409.5" customHeight="1">
      <c r="A127" s="88"/>
      <c r="B127" s="88"/>
      <c r="F127" s="66"/>
      <c r="CM127" s="89"/>
      <c r="DT127" s="89"/>
      <c r="EJ127" s="90"/>
      <c r="ER127" s="90"/>
      <c r="FI127" s="90"/>
      <c r="GM127" s="89"/>
      <c r="GN127" s="89"/>
      <c r="GO127" s="106"/>
      <c r="GP127" s="91"/>
      <c r="GQ127" s="91"/>
      <c r="GR127" s="91"/>
      <c r="GS127" s="91"/>
      <c r="GT127" s="66"/>
    </row>
    <row r="128" spans="1:202" s="25" customFormat="1" ht="409.5" customHeight="1">
      <c r="A128" s="88"/>
      <c r="B128" s="88"/>
      <c r="F128" s="66"/>
      <c r="CM128" s="89"/>
      <c r="DT128" s="89"/>
      <c r="EJ128" s="90"/>
      <c r="ER128" s="90"/>
      <c r="FI128" s="90"/>
      <c r="GM128" s="89"/>
      <c r="GN128" s="89"/>
      <c r="GO128" s="106"/>
      <c r="GP128" s="91"/>
      <c r="GQ128" s="91"/>
      <c r="GR128" s="91"/>
      <c r="GS128" s="91"/>
      <c r="GT128" s="66"/>
    </row>
    <row r="129" spans="1:202" s="25" customFormat="1" ht="409.5" customHeight="1">
      <c r="A129" s="88"/>
      <c r="B129" s="88"/>
      <c r="F129" s="66"/>
      <c r="CM129" s="89"/>
      <c r="DT129" s="89"/>
      <c r="EJ129" s="90"/>
      <c r="ER129" s="90"/>
      <c r="FI129" s="90"/>
      <c r="GM129" s="89"/>
      <c r="GN129" s="89"/>
      <c r="GO129" s="106"/>
      <c r="GP129" s="91"/>
      <c r="GQ129" s="91"/>
      <c r="GR129" s="91"/>
      <c r="GS129" s="91"/>
      <c r="GT129" s="66"/>
    </row>
    <row r="130" spans="1:202" s="25" customFormat="1" ht="409.5" customHeight="1">
      <c r="A130" s="88"/>
      <c r="B130" s="88"/>
      <c r="F130" s="66"/>
      <c r="CM130" s="89"/>
      <c r="DT130" s="89"/>
      <c r="EJ130" s="90"/>
      <c r="ER130" s="90"/>
      <c r="FI130" s="90"/>
      <c r="GM130" s="89"/>
      <c r="GN130" s="89"/>
      <c r="GO130" s="106"/>
      <c r="GP130" s="91"/>
      <c r="GQ130" s="91"/>
      <c r="GR130" s="91"/>
      <c r="GS130" s="91"/>
      <c r="GT130" s="66"/>
    </row>
    <row r="131" spans="1:202" s="25" customFormat="1" ht="409.5" customHeight="1">
      <c r="A131" s="88"/>
      <c r="B131" s="88"/>
      <c r="F131" s="66"/>
      <c r="CM131" s="89"/>
      <c r="DT131" s="89"/>
      <c r="EJ131" s="90"/>
      <c r="ER131" s="90"/>
      <c r="FI131" s="90"/>
      <c r="GM131" s="89"/>
      <c r="GN131" s="89"/>
      <c r="GO131" s="106"/>
      <c r="GP131" s="91"/>
      <c r="GQ131" s="91"/>
      <c r="GR131" s="91"/>
      <c r="GS131" s="91"/>
      <c r="GT131" s="66"/>
    </row>
    <row r="132" spans="1:202" s="25" customFormat="1" ht="409.5" customHeight="1">
      <c r="A132" s="88"/>
      <c r="B132" s="88"/>
      <c r="F132" s="66"/>
      <c r="CM132" s="89"/>
      <c r="DT132" s="89"/>
      <c r="EJ132" s="90"/>
      <c r="ER132" s="90"/>
      <c r="FI132" s="90"/>
      <c r="GM132" s="89"/>
      <c r="GN132" s="89"/>
      <c r="GO132" s="106"/>
      <c r="GP132" s="91"/>
      <c r="GQ132" s="91"/>
      <c r="GR132" s="91"/>
      <c r="GS132" s="91"/>
      <c r="GT132" s="66"/>
    </row>
    <row r="133" spans="1:202" s="25" customFormat="1" ht="409.5" customHeight="1">
      <c r="A133" s="88"/>
      <c r="B133" s="88"/>
      <c r="F133" s="66"/>
      <c r="CM133" s="89"/>
      <c r="DT133" s="89"/>
      <c r="EJ133" s="90"/>
      <c r="ER133" s="90"/>
      <c r="FI133" s="90"/>
      <c r="GM133" s="89"/>
      <c r="GN133" s="89"/>
      <c r="GO133" s="106"/>
      <c r="GP133" s="91"/>
      <c r="GQ133" s="91"/>
      <c r="GR133" s="91"/>
      <c r="GS133" s="91"/>
      <c r="GT133" s="66"/>
    </row>
    <row r="134" spans="1:202" s="25" customFormat="1" ht="409.5" customHeight="1">
      <c r="A134" s="88"/>
      <c r="B134" s="88"/>
      <c r="F134" s="66"/>
      <c r="CM134" s="89"/>
      <c r="DT134" s="89"/>
      <c r="EJ134" s="90"/>
      <c r="ER134" s="90"/>
      <c r="FI134" s="90"/>
      <c r="GM134" s="89"/>
      <c r="GN134" s="89"/>
      <c r="GO134" s="106"/>
      <c r="GP134" s="91"/>
      <c r="GQ134" s="91"/>
      <c r="GR134" s="91"/>
      <c r="GS134" s="91"/>
      <c r="GT134" s="66"/>
    </row>
    <row r="135" spans="1:202" s="25" customFormat="1" ht="409.5" customHeight="1">
      <c r="A135" s="88"/>
      <c r="B135" s="88"/>
      <c r="F135" s="66"/>
      <c r="CM135" s="89"/>
      <c r="DT135" s="89"/>
      <c r="EJ135" s="90"/>
      <c r="ER135" s="90"/>
      <c r="FI135" s="90"/>
      <c r="GM135" s="89"/>
      <c r="GN135" s="89"/>
      <c r="GO135" s="106"/>
      <c r="GP135" s="91"/>
      <c r="GQ135" s="91"/>
      <c r="GR135" s="91"/>
      <c r="GS135" s="91"/>
      <c r="GT135" s="66"/>
    </row>
    <row r="136" spans="1:202" s="25" customFormat="1" ht="409.5" customHeight="1">
      <c r="A136" s="88"/>
      <c r="B136" s="88"/>
      <c r="F136" s="66"/>
      <c r="CM136" s="89"/>
      <c r="DT136" s="89"/>
      <c r="EJ136" s="90"/>
      <c r="ER136" s="90"/>
      <c r="FI136" s="90"/>
      <c r="GM136" s="89"/>
      <c r="GN136" s="89"/>
      <c r="GO136" s="106"/>
      <c r="GP136" s="91"/>
      <c r="GQ136" s="91"/>
      <c r="GR136" s="91"/>
      <c r="GS136" s="91"/>
      <c r="GT136" s="66"/>
    </row>
    <row r="137" spans="1:202" s="25" customFormat="1" ht="409.5" customHeight="1">
      <c r="A137" s="88"/>
      <c r="B137" s="88"/>
      <c r="F137" s="66"/>
      <c r="CM137" s="89"/>
      <c r="DT137" s="89"/>
      <c r="EJ137" s="90"/>
      <c r="ER137" s="90"/>
      <c r="FI137" s="90"/>
      <c r="GM137" s="89"/>
      <c r="GN137" s="89"/>
      <c r="GO137" s="106"/>
      <c r="GP137" s="91"/>
      <c r="GQ137" s="91"/>
      <c r="GR137" s="91"/>
      <c r="GS137" s="91"/>
      <c r="GT137" s="66"/>
    </row>
    <row r="138" spans="1:202" s="25" customFormat="1" ht="409.5" customHeight="1">
      <c r="A138" s="88"/>
      <c r="B138" s="88"/>
      <c r="F138" s="66"/>
      <c r="CM138" s="89"/>
      <c r="DT138" s="89"/>
      <c r="EJ138" s="90"/>
      <c r="ER138" s="90"/>
      <c r="FI138" s="90"/>
      <c r="GM138" s="89"/>
      <c r="GN138" s="89"/>
      <c r="GO138" s="106"/>
      <c r="GP138" s="91"/>
      <c r="GQ138" s="91"/>
      <c r="GR138" s="91"/>
      <c r="GS138" s="91"/>
      <c r="GT138" s="66"/>
    </row>
    <row r="139" spans="1:202" s="25" customFormat="1" ht="409.5" customHeight="1">
      <c r="A139" s="88"/>
      <c r="B139" s="88"/>
      <c r="F139" s="66"/>
      <c r="CM139" s="89"/>
      <c r="DT139" s="89"/>
      <c r="EJ139" s="90"/>
      <c r="ER139" s="90"/>
      <c r="FI139" s="90"/>
      <c r="GM139" s="89"/>
      <c r="GN139" s="89"/>
      <c r="GO139" s="106"/>
      <c r="GP139" s="91"/>
      <c r="GQ139" s="91"/>
      <c r="GR139" s="91"/>
      <c r="GS139" s="91"/>
      <c r="GT139" s="66"/>
    </row>
    <row r="140" spans="1:202" s="25" customFormat="1" ht="409.5" customHeight="1">
      <c r="A140" s="88"/>
      <c r="B140" s="88"/>
      <c r="F140" s="66"/>
      <c r="CM140" s="89"/>
      <c r="DT140" s="89"/>
      <c r="EJ140" s="90"/>
      <c r="ER140" s="90"/>
      <c r="FI140" s="90"/>
      <c r="GM140" s="89"/>
      <c r="GN140" s="89"/>
      <c r="GO140" s="106"/>
      <c r="GP140" s="91"/>
      <c r="GQ140" s="91"/>
      <c r="GR140" s="91"/>
      <c r="GS140" s="91"/>
      <c r="GT140" s="66"/>
    </row>
    <row r="141" spans="1:202" s="25" customFormat="1" ht="409.5" customHeight="1">
      <c r="A141" s="88"/>
      <c r="B141" s="88"/>
      <c r="F141" s="66"/>
      <c r="CM141" s="89"/>
      <c r="DT141" s="89"/>
      <c r="EJ141" s="90"/>
      <c r="ER141" s="90"/>
      <c r="FI141" s="90"/>
      <c r="GM141" s="89"/>
      <c r="GN141" s="89"/>
      <c r="GO141" s="106"/>
      <c r="GP141" s="91"/>
      <c r="GQ141" s="91"/>
      <c r="GR141" s="91"/>
      <c r="GS141" s="91"/>
      <c r="GT141" s="66"/>
    </row>
    <row r="142" spans="1:202" s="25" customFormat="1" ht="409.5" customHeight="1">
      <c r="A142" s="88"/>
      <c r="B142" s="88"/>
      <c r="F142" s="66"/>
      <c r="CM142" s="89"/>
      <c r="DT142" s="89"/>
      <c r="EJ142" s="90"/>
      <c r="ER142" s="90"/>
      <c r="FI142" s="90"/>
      <c r="GM142" s="89"/>
      <c r="GN142" s="89"/>
      <c r="GO142" s="106"/>
      <c r="GP142" s="91"/>
      <c r="GQ142" s="91"/>
      <c r="GR142" s="91"/>
      <c r="GS142" s="91"/>
      <c r="GT142" s="66"/>
    </row>
    <row r="143" spans="1:202" s="25" customFormat="1" ht="409.5" customHeight="1">
      <c r="A143" s="88"/>
      <c r="B143" s="88"/>
      <c r="F143" s="66"/>
      <c r="CM143" s="89"/>
      <c r="DT143" s="89"/>
      <c r="EJ143" s="90"/>
      <c r="ER143" s="90"/>
      <c r="FI143" s="90"/>
      <c r="GM143" s="89"/>
      <c r="GN143" s="89"/>
      <c r="GO143" s="106"/>
      <c r="GP143" s="91"/>
      <c r="GQ143" s="91"/>
      <c r="GR143" s="91"/>
      <c r="GS143" s="91"/>
      <c r="GT143" s="66"/>
    </row>
    <row r="144" spans="1:202" s="25" customFormat="1" ht="409.5" customHeight="1">
      <c r="A144" s="88"/>
      <c r="B144" s="88"/>
      <c r="F144" s="66"/>
      <c r="CM144" s="89"/>
      <c r="DT144" s="89"/>
      <c r="EJ144" s="90"/>
      <c r="ER144" s="90"/>
      <c r="FI144" s="90"/>
      <c r="GM144" s="89"/>
      <c r="GN144" s="89"/>
      <c r="GO144" s="106"/>
      <c r="GP144" s="91"/>
      <c r="GQ144" s="91"/>
      <c r="GR144" s="91"/>
      <c r="GS144" s="91"/>
      <c r="GT144" s="66"/>
    </row>
    <row r="145" spans="1:202" s="25" customFormat="1" ht="409.5" customHeight="1">
      <c r="A145" s="88"/>
      <c r="B145" s="88"/>
      <c r="F145" s="66"/>
      <c r="CM145" s="89"/>
      <c r="DT145" s="89"/>
      <c r="EJ145" s="90"/>
      <c r="ER145" s="90"/>
      <c r="FI145" s="90"/>
      <c r="GM145" s="89"/>
      <c r="GN145" s="89"/>
      <c r="GO145" s="106"/>
      <c r="GP145" s="91"/>
      <c r="GQ145" s="91"/>
      <c r="GR145" s="91"/>
      <c r="GS145" s="91"/>
      <c r="GT145" s="66"/>
    </row>
    <row r="146" spans="1:202" s="25" customFormat="1" ht="409.5" customHeight="1">
      <c r="A146" s="88"/>
      <c r="B146" s="88"/>
      <c r="F146" s="66"/>
      <c r="CM146" s="89"/>
      <c r="DT146" s="89"/>
      <c r="EJ146" s="90"/>
      <c r="ER146" s="90"/>
      <c r="FI146" s="90"/>
      <c r="GM146" s="89"/>
      <c r="GN146" s="89"/>
      <c r="GO146" s="106"/>
      <c r="GP146" s="91"/>
      <c r="GQ146" s="91"/>
      <c r="GR146" s="91"/>
      <c r="GS146" s="91"/>
      <c r="GT146" s="66"/>
    </row>
    <row r="147" spans="1:202" s="25" customFormat="1" ht="409.5" customHeight="1">
      <c r="A147" s="88"/>
      <c r="B147" s="88"/>
      <c r="F147" s="66"/>
      <c r="CM147" s="89"/>
      <c r="DT147" s="89"/>
      <c r="EJ147" s="90"/>
      <c r="ER147" s="90"/>
      <c r="FI147" s="90"/>
      <c r="GM147" s="89"/>
      <c r="GN147" s="89"/>
      <c r="GO147" s="106"/>
      <c r="GP147" s="91"/>
      <c r="GQ147" s="91"/>
      <c r="GR147" s="91"/>
      <c r="GS147" s="91"/>
      <c r="GT147" s="66"/>
    </row>
    <row r="148" spans="1:202" s="25" customFormat="1" ht="409.5" customHeight="1">
      <c r="A148" s="88"/>
      <c r="B148" s="88"/>
      <c r="F148" s="66"/>
      <c r="CM148" s="89"/>
      <c r="DT148" s="89"/>
      <c r="EJ148" s="90"/>
      <c r="ER148" s="90"/>
      <c r="FI148" s="90"/>
      <c r="GM148" s="89"/>
      <c r="GN148" s="89"/>
      <c r="GO148" s="106"/>
      <c r="GP148" s="91"/>
      <c r="GQ148" s="91"/>
      <c r="GR148" s="91"/>
      <c r="GS148" s="91"/>
      <c r="GT148" s="66"/>
    </row>
    <row r="149" spans="1:202" s="25" customFormat="1" ht="409.5" customHeight="1">
      <c r="A149" s="88"/>
      <c r="B149" s="88"/>
      <c r="F149" s="66"/>
      <c r="CM149" s="89"/>
      <c r="DT149" s="89"/>
      <c r="EJ149" s="90"/>
      <c r="ER149" s="90"/>
      <c r="FI149" s="90"/>
      <c r="GM149" s="89"/>
      <c r="GN149" s="89"/>
      <c r="GO149" s="106"/>
      <c r="GP149" s="91"/>
      <c r="GQ149" s="91"/>
      <c r="GR149" s="91"/>
      <c r="GS149" s="91"/>
      <c r="GT149" s="66"/>
    </row>
    <row r="150" spans="1:202" s="25" customFormat="1" ht="409.5" customHeight="1">
      <c r="A150" s="88"/>
      <c r="B150" s="88"/>
      <c r="F150" s="66"/>
      <c r="CM150" s="89"/>
      <c r="DT150" s="89"/>
      <c r="EJ150" s="90"/>
      <c r="ER150" s="90"/>
      <c r="FI150" s="90"/>
      <c r="GM150" s="89"/>
      <c r="GN150" s="89"/>
      <c r="GO150" s="106"/>
      <c r="GP150" s="91"/>
      <c r="GQ150" s="91"/>
      <c r="GR150" s="91"/>
      <c r="GS150" s="91"/>
      <c r="GT150" s="66"/>
    </row>
    <row r="151" spans="1:202" s="25" customFormat="1" ht="409.5" customHeight="1">
      <c r="A151" s="88"/>
      <c r="B151" s="88"/>
      <c r="F151" s="66"/>
      <c r="CM151" s="89"/>
      <c r="DT151" s="89"/>
      <c r="EJ151" s="90"/>
      <c r="ER151" s="90"/>
      <c r="FI151" s="90"/>
      <c r="GM151" s="89"/>
      <c r="GN151" s="89"/>
      <c r="GO151" s="106"/>
      <c r="GP151" s="91"/>
      <c r="GQ151" s="91"/>
      <c r="GR151" s="91"/>
      <c r="GS151" s="91"/>
      <c r="GT151" s="66"/>
    </row>
    <row r="152" spans="1:202" s="25" customFormat="1" ht="409.5" customHeight="1">
      <c r="A152" s="88"/>
      <c r="B152" s="88"/>
      <c r="F152" s="66"/>
      <c r="CM152" s="89"/>
      <c r="DT152" s="89"/>
      <c r="EJ152" s="90"/>
      <c r="ER152" s="90"/>
      <c r="FI152" s="90"/>
      <c r="GM152" s="89"/>
      <c r="GN152" s="89"/>
      <c r="GO152" s="106"/>
      <c r="GP152" s="91"/>
      <c r="GQ152" s="91"/>
      <c r="GR152" s="91"/>
      <c r="GS152" s="91"/>
      <c r="GT152" s="66"/>
    </row>
    <row r="153" spans="1:202" s="25" customFormat="1" ht="409.5" customHeight="1">
      <c r="A153" s="88"/>
      <c r="B153" s="88"/>
      <c r="F153" s="66"/>
      <c r="CM153" s="89"/>
      <c r="DT153" s="89"/>
      <c r="EJ153" s="90"/>
      <c r="ER153" s="90"/>
      <c r="FI153" s="90"/>
      <c r="GM153" s="89"/>
      <c r="GN153" s="89"/>
      <c r="GO153" s="106"/>
      <c r="GP153" s="91"/>
      <c r="GQ153" s="91"/>
      <c r="GR153" s="91"/>
      <c r="GS153" s="91"/>
      <c r="GT153" s="66"/>
    </row>
    <row r="154" spans="1:202" s="25" customFormat="1" ht="409.5" customHeight="1">
      <c r="A154" s="88"/>
      <c r="B154" s="88"/>
      <c r="F154" s="66"/>
      <c r="CM154" s="89"/>
      <c r="DT154" s="89"/>
      <c r="EJ154" s="90"/>
      <c r="ER154" s="90"/>
      <c r="FI154" s="90"/>
      <c r="GM154" s="89"/>
      <c r="GN154" s="89"/>
      <c r="GO154" s="106"/>
      <c r="GP154" s="91"/>
      <c r="GQ154" s="91"/>
      <c r="GR154" s="91"/>
      <c r="GS154" s="91"/>
      <c r="GT154" s="66"/>
    </row>
    <row r="155" spans="1:202" s="25" customFormat="1" ht="409.5" customHeight="1">
      <c r="A155" s="88"/>
      <c r="B155" s="88"/>
      <c r="F155" s="66"/>
      <c r="CM155" s="89"/>
      <c r="DT155" s="89"/>
      <c r="EJ155" s="90"/>
      <c r="ER155" s="90"/>
      <c r="FI155" s="90"/>
      <c r="GM155" s="89"/>
      <c r="GN155" s="89"/>
      <c r="GO155" s="106"/>
      <c r="GP155" s="91"/>
      <c r="GQ155" s="91"/>
      <c r="GR155" s="91"/>
      <c r="GS155" s="91"/>
      <c r="GT155" s="66"/>
    </row>
    <row r="156" spans="1:202" s="25" customFormat="1" ht="409.5" customHeight="1">
      <c r="A156" s="88"/>
      <c r="B156" s="88"/>
      <c r="F156" s="66"/>
      <c r="CM156" s="89"/>
      <c r="DT156" s="89"/>
      <c r="EJ156" s="90"/>
      <c r="ER156" s="90"/>
      <c r="FI156" s="90"/>
      <c r="GM156" s="89"/>
      <c r="GN156" s="89"/>
      <c r="GO156" s="106"/>
      <c r="GP156" s="91"/>
      <c r="GQ156" s="91"/>
      <c r="GR156" s="91"/>
      <c r="GS156" s="91"/>
      <c r="GT156" s="66"/>
    </row>
    <row r="157" spans="1:202" s="25" customFormat="1" ht="409.5" customHeight="1">
      <c r="A157" s="88"/>
      <c r="B157" s="88"/>
      <c r="F157" s="66"/>
      <c r="CM157" s="89"/>
      <c r="DT157" s="89"/>
      <c r="EJ157" s="90"/>
      <c r="ER157" s="90"/>
      <c r="FI157" s="90"/>
      <c r="GM157" s="89"/>
      <c r="GN157" s="89"/>
      <c r="GO157" s="106"/>
      <c r="GP157" s="91"/>
      <c r="GQ157" s="91"/>
      <c r="GR157" s="91"/>
      <c r="GS157" s="91"/>
      <c r="GT157" s="66"/>
    </row>
    <row r="158" spans="1:202" s="25" customFormat="1" ht="409.5" customHeight="1">
      <c r="A158" s="88"/>
      <c r="B158" s="88"/>
      <c r="F158" s="66"/>
      <c r="CM158" s="89"/>
      <c r="DT158" s="89"/>
      <c r="EJ158" s="90"/>
      <c r="ER158" s="90"/>
      <c r="FI158" s="90"/>
      <c r="GM158" s="89"/>
      <c r="GN158" s="89"/>
      <c r="GO158" s="106"/>
      <c r="GP158" s="91"/>
      <c r="GQ158" s="91"/>
      <c r="GR158" s="91"/>
      <c r="GS158" s="91"/>
      <c r="GT158" s="66"/>
    </row>
    <row r="159" spans="1:202" s="25" customFormat="1" ht="409.5" customHeight="1">
      <c r="A159" s="88"/>
      <c r="B159" s="88"/>
      <c r="F159" s="66"/>
      <c r="CM159" s="89"/>
      <c r="DT159" s="89"/>
      <c r="EJ159" s="90"/>
      <c r="ER159" s="90"/>
      <c r="FI159" s="90"/>
      <c r="GM159" s="89"/>
      <c r="GN159" s="89"/>
      <c r="GO159" s="106"/>
      <c r="GP159" s="91"/>
      <c r="GQ159" s="91"/>
      <c r="GR159" s="91"/>
      <c r="GS159" s="91"/>
      <c r="GT159" s="66"/>
    </row>
    <row r="160" spans="1:202" s="25" customFormat="1" ht="409.5" customHeight="1">
      <c r="A160" s="88"/>
      <c r="B160" s="88"/>
      <c r="F160" s="66"/>
      <c r="CM160" s="89"/>
      <c r="DT160" s="89"/>
      <c r="EJ160" s="90"/>
      <c r="ER160" s="90"/>
      <c r="FI160" s="90"/>
      <c r="GM160" s="89"/>
      <c r="GN160" s="89"/>
      <c r="GO160" s="106"/>
      <c r="GP160" s="91"/>
      <c r="GQ160" s="91"/>
      <c r="GR160" s="91"/>
      <c r="GS160" s="91"/>
      <c r="GT160" s="66"/>
    </row>
    <row r="161" spans="1:202" s="25" customFormat="1" ht="409.5" customHeight="1">
      <c r="A161" s="88"/>
      <c r="B161" s="88"/>
      <c r="F161" s="66"/>
      <c r="CM161" s="89"/>
      <c r="DT161" s="89"/>
      <c r="EJ161" s="90"/>
      <c r="ER161" s="90"/>
      <c r="FI161" s="90"/>
      <c r="GM161" s="89"/>
      <c r="GN161" s="89"/>
      <c r="GO161" s="106"/>
      <c r="GP161" s="91"/>
      <c r="GQ161" s="91"/>
      <c r="GR161" s="91"/>
      <c r="GS161" s="91"/>
      <c r="GT161" s="66"/>
    </row>
    <row r="162" spans="1:202" s="25" customFormat="1" ht="409.5" customHeight="1">
      <c r="A162" s="88"/>
      <c r="B162" s="88"/>
      <c r="F162" s="66"/>
      <c r="CM162" s="89"/>
      <c r="DT162" s="89"/>
      <c r="EJ162" s="90"/>
      <c r="ER162" s="90"/>
      <c r="FI162" s="90"/>
      <c r="GM162" s="89"/>
      <c r="GN162" s="89"/>
      <c r="GO162" s="106"/>
      <c r="GP162" s="91"/>
      <c r="GQ162" s="91"/>
      <c r="GR162" s="91"/>
      <c r="GS162" s="91"/>
      <c r="GT162" s="66"/>
    </row>
    <row r="163" spans="1:202" s="25" customFormat="1" ht="409.5" customHeight="1">
      <c r="A163" s="88"/>
      <c r="B163" s="88"/>
      <c r="F163" s="66"/>
      <c r="CM163" s="89"/>
      <c r="DT163" s="89"/>
      <c r="EJ163" s="90"/>
      <c r="ER163" s="90"/>
      <c r="FI163" s="90"/>
      <c r="GM163" s="89"/>
      <c r="GN163" s="89"/>
      <c r="GO163" s="106"/>
      <c r="GP163" s="91"/>
      <c r="GQ163" s="91"/>
      <c r="GR163" s="91"/>
      <c r="GS163" s="91"/>
      <c r="GT163" s="66"/>
    </row>
    <row r="164" spans="1:202" s="25" customFormat="1" ht="409.5" customHeight="1">
      <c r="A164" s="88"/>
      <c r="B164" s="88"/>
      <c r="F164" s="66"/>
      <c r="CM164" s="89"/>
      <c r="DT164" s="89"/>
      <c r="EJ164" s="90"/>
      <c r="ER164" s="90"/>
      <c r="FI164" s="90"/>
      <c r="GM164" s="89"/>
      <c r="GN164" s="89"/>
      <c r="GO164" s="106"/>
      <c r="GP164" s="91"/>
      <c r="GQ164" s="91"/>
      <c r="GR164" s="91"/>
      <c r="GS164" s="91"/>
      <c r="GT164" s="66"/>
    </row>
    <row r="165" spans="1:202" s="25" customFormat="1" ht="409.5" customHeight="1">
      <c r="A165" s="88"/>
      <c r="B165" s="88"/>
      <c r="F165" s="66"/>
      <c r="CM165" s="89"/>
      <c r="DT165" s="89"/>
      <c r="EJ165" s="90"/>
      <c r="ER165" s="90"/>
      <c r="FI165" s="90"/>
      <c r="GM165" s="89"/>
      <c r="GN165" s="89"/>
      <c r="GO165" s="106"/>
      <c r="GP165" s="91"/>
      <c r="GQ165" s="91"/>
      <c r="GR165" s="91"/>
      <c r="GS165" s="91"/>
      <c r="GT165" s="66"/>
    </row>
    <row r="166" spans="1:202" s="25" customFormat="1" ht="409.5" customHeight="1">
      <c r="A166" s="88"/>
      <c r="B166" s="88"/>
      <c r="F166" s="66"/>
      <c r="CM166" s="89"/>
      <c r="DT166" s="89"/>
      <c r="EJ166" s="90"/>
      <c r="ER166" s="90"/>
      <c r="FI166" s="90"/>
      <c r="GM166" s="89"/>
      <c r="GN166" s="89"/>
      <c r="GO166" s="106"/>
      <c r="GP166" s="91"/>
      <c r="GQ166" s="91"/>
      <c r="GR166" s="91"/>
      <c r="GS166" s="91"/>
      <c r="GT166" s="66"/>
    </row>
    <row r="167" spans="1:202" s="25" customFormat="1" ht="409.5" customHeight="1">
      <c r="A167" s="88"/>
      <c r="B167" s="88"/>
      <c r="F167" s="66"/>
      <c r="CM167" s="89"/>
      <c r="DT167" s="89"/>
      <c r="EJ167" s="90"/>
      <c r="ER167" s="90"/>
      <c r="FI167" s="90"/>
      <c r="GM167" s="89"/>
      <c r="GN167" s="89"/>
      <c r="GO167" s="106"/>
      <c r="GP167" s="91"/>
      <c r="GQ167" s="91"/>
      <c r="GR167" s="91"/>
      <c r="GS167" s="91"/>
      <c r="GT167" s="66"/>
    </row>
    <row r="168" spans="1:202" s="25" customFormat="1" ht="409.5" customHeight="1">
      <c r="A168" s="88"/>
      <c r="B168" s="88"/>
      <c r="F168" s="66"/>
      <c r="CM168" s="89"/>
      <c r="DT168" s="89"/>
      <c r="EJ168" s="90"/>
      <c r="ER168" s="90"/>
      <c r="FI168" s="90"/>
      <c r="GM168" s="89"/>
      <c r="GN168" s="89"/>
      <c r="GO168" s="106"/>
      <c r="GP168" s="91"/>
      <c r="GQ168" s="91"/>
      <c r="GR168" s="91"/>
      <c r="GS168" s="91"/>
      <c r="GT168" s="66"/>
    </row>
    <row r="169" spans="1:202" s="25" customFormat="1" ht="409.5" customHeight="1">
      <c r="A169" s="88"/>
      <c r="B169" s="88"/>
      <c r="F169" s="66"/>
      <c r="CM169" s="89"/>
      <c r="DT169" s="89"/>
      <c r="EJ169" s="90"/>
      <c r="ER169" s="90"/>
      <c r="FI169" s="90"/>
      <c r="GM169" s="89"/>
      <c r="GN169" s="89"/>
      <c r="GO169" s="106"/>
      <c r="GP169" s="91"/>
      <c r="GQ169" s="91"/>
      <c r="GR169" s="91"/>
      <c r="GS169" s="91"/>
      <c r="GT169" s="66"/>
    </row>
    <row r="170" spans="1:202" s="25" customFormat="1" ht="409.5" customHeight="1">
      <c r="A170" s="88"/>
      <c r="B170" s="88"/>
      <c r="F170" s="66"/>
      <c r="CM170" s="89"/>
      <c r="DT170" s="89"/>
      <c r="EJ170" s="90"/>
      <c r="ER170" s="90"/>
      <c r="FI170" s="90"/>
      <c r="GM170" s="89"/>
      <c r="GN170" s="89"/>
      <c r="GO170" s="106"/>
      <c r="GP170" s="91"/>
      <c r="GQ170" s="91"/>
      <c r="GR170" s="91"/>
      <c r="GS170" s="91"/>
      <c r="GT170" s="66"/>
    </row>
    <row r="171" spans="1:202" s="25" customFormat="1" ht="409.5" customHeight="1">
      <c r="A171" s="88"/>
      <c r="B171" s="88"/>
      <c r="F171" s="66"/>
      <c r="CM171" s="89"/>
      <c r="DT171" s="89"/>
      <c r="EJ171" s="90"/>
      <c r="ER171" s="90"/>
      <c r="FI171" s="90"/>
      <c r="GM171" s="89"/>
      <c r="GN171" s="89"/>
      <c r="GO171" s="106"/>
      <c r="GP171" s="91"/>
      <c r="GQ171" s="91"/>
      <c r="GR171" s="91"/>
      <c r="GS171" s="91"/>
      <c r="GT171" s="66"/>
    </row>
    <row r="172" spans="1:202" s="25" customFormat="1" ht="409.5" customHeight="1">
      <c r="A172" s="88"/>
      <c r="B172" s="88"/>
      <c r="F172" s="66"/>
      <c r="CM172" s="89"/>
      <c r="DT172" s="89"/>
      <c r="EJ172" s="90"/>
      <c r="ER172" s="90"/>
      <c r="FI172" s="90"/>
      <c r="GM172" s="89"/>
      <c r="GN172" s="89"/>
      <c r="GO172" s="106"/>
      <c r="GP172" s="91"/>
      <c r="GQ172" s="91"/>
      <c r="GR172" s="91"/>
      <c r="GS172" s="91"/>
      <c r="GT172" s="66"/>
    </row>
    <row r="173" spans="1:202" s="25" customFormat="1" ht="409.5" customHeight="1">
      <c r="A173" s="88"/>
      <c r="B173" s="88"/>
      <c r="F173" s="66"/>
      <c r="CM173" s="89"/>
      <c r="DT173" s="89"/>
      <c r="EJ173" s="90"/>
      <c r="ER173" s="90"/>
      <c r="FI173" s="90"/>
      <c r="GM173" s="89"/>
      <c r="GN173" s="89"/>
      <c r="GO173" s="106"/>
      <c r="GP173" s="91"/>
      <c r="GQ173" s="91"/>
      <c r="GR173" s="91"/>
      <c r="GS173" s="91"/>
      <c r="GT173" s="66"/>
    </row>
    <row r="174" spans="1:202" s="25" customFormat="1" ht="409.5" customHeight="1">
      <c r="A174" s="88"/>
      <c r="B174" s="88"/>
      <c r="F174" s="66"/>
      <c r="CM174" s="89"/>
      <c r="DT174" s="89"/>
      <c r="EJ174" s="90"/>
      <c r="ER174" s="90"/>
      <c r="FI174" s="90"/>
      <c r="GM174" s="89"/>
      <c r="GN174" s="89"/>
      <c r="GO174" s="106"/>
      <c r="GP174" s="91"/>
      <c r="GQ174" s="91"/>
      <c r="GR174" s="91"/>
      <c r="GS174" s="91"/>
      <c r="GT174" s="66"/>
    </row>
  </sheetData>
  <mergeCells count="45">
    <mergeCell ref="AT2:BY2"/>
    <mergeCell ref="BZ2:BZ4"/>
    <mergeCell ref="CA2:CL2"/>
    <mergeCell ref="AT3:AW3"/>
    <mergeCell ref="AX3:BA3"/>
    <mergeCell ref="BB3:BE3"/>
    <mergeCell ref="BF3:BI3"/>
    <mergeCell ref="BJ3:BM3"/>
    <mergeCell ref="BN3:BQ3"/>
    <mergeCell ref="BR3:BU3"/>
    <mergeCell ref="BV3:BY3"/>
    <mergeCell ref="CA3:CD3"/>
    <mergeCell ref="CE3:CH3"/>
    <mergeCell ref="CI3:CL3"/>
    <mergeCell ref="CM2:CM4"/>
    <mergeCell ref="CN2:DS2"/>
    <mergeCell ref="DT2:DT4"/>
    <mergeCell ref="DU2:FH2"/>
    <mergeCell ref="FJ2:GK2"/>
    <mergeCell ref="CN3:CQ3"/>
    <mergeCell ref="CR3:CU3"/>
    <mergeCell ref="CV3:CY3"/>
    <mergeCell ref="CZ3:DC3"/>
    <mergeCell ref="DD3:DG3"/>
    <mergeCell ref="DH3:DK3"/>
    <mergeCell ref="DL3:DO3"/>
    <mergeCell ref="DP3:DS3"/>
    <mergeCell ref="DU3:DX3"/>
    <mergeCell ref="DY3:EB3"/>
    <mergeCell ref="EC3:EF3"/>
    <mergeCell ref="EG3:EJ3"/>
    <mergeCell ref="EK3:EN3"/>
    <mergeCell ref="EO3:ER3"/>
    <mergeCell ref="ES3:EV3"/>
    <mergeCell ref="EW3:EZ3"/>
    <mergeCell ref="FA3:FD3"/>
    <mergeCell ref="FE3:FH3"/>
    <mergeCell ref="FJ3:FM3"/>
    <mergeCell ref="FN3:FQ3"/>
    <mergeCell ref="FR3:FU3"/>
    <mergeCell ref="FV3:FY3"/>
    <mergeCell ref="FZ3:GC3"/>
    <mergeCell ref="GD3:GG3"/>
    <mergeCell ref="GH3:GK3"/>
    <mergeCell ref="FI2:FI4"/>
  </mergeCells>
  <pageMargins left="0.7" right="0.7" top="0.75" bottom="0.75" header="0.3" footer="0.3"/>
  <pageSetup paperSize="9" scale="46" orientation="portrait" r:id="rId1"/>
  <colBreaks count="2" manualBreakCount="2">
    <brk id="17" max="1048575" man="1"/>
    <brk id="201"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20_08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Njaka Rajaonarison</dc:creator>
  <cp:lastModifiedBy>Clavien Nambinina</cp:lastModifiedBy>
  <cp:lastPrinted>2025-03-10T06:23:28Z</cp:lastPrinted>
  <dcterms:created xsi:type="dcterms:W3CDTF">2025-03-04T14:58:29Z</dcterms:created>
  <dcterms:modified xsi:type="dcterms:W3CDTF">2025-09-14T10:37:16Z</dcterms:modified>
</cp:coreProperties>
</file>